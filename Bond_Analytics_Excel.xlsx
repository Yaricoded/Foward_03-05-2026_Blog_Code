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yaritzaibarra/Desktop/"/>
    </mc:Choice>
  </mc:AlternateContent>
  <xr:revisionPtr revIDLastSave="0" documentId="13_ncr:1_{57CDBDEB-FDCE-9049-B1D1-1D641BD2AB2A}" xr6:coauthVersionLast="47" xr6:coauthVersionMax="47" xr10:uidLastSave="{00000000-0000-0000-0000-000000000000}"/>
  <bookViews>
    <workbookView xWindow="9520" yWindow="600" windowWidth="19280" windowHeight="16120" tabRatio="500" xr2:uid="{00000000-000D-0000-FFFF-FFFF00000000}"/>
  </bookViews>
  <sheets>
    <sheet name="Cover" sheetId="1" r:id="rId1"/>
    <sheet name="Assumptions" sheetId="2" r:id="rId2"/>
    <sheet name="Pricing" sheetId="3" r:id="rId3"/>
    <sheet name="Cash Flows" sheetId="4" r:id="rId4"/>
    <sheet name="Risk Metrics" sheetId="5" r:id="rId5"/>
    <sheet name="Price-Yield" sheetId="6" r:id="rId6"/>
    <sheet name="Scenario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5" l="1"/>
  <c r="C5" i="4"/>
  <c r="C8" i="3"/>
  <c r="E10" i="4"/>
  <c r="C9" i="3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C33" i="6"/>
  <c r="D33" i="6" s="1"/>
  <c r="B33" i="6"/>
  <c r="F33" i="6" s="1"/>
  <c r="C32" i="6"/>
  <c r="B32" i="6"/>
  <c r="F32" i="6" s="1"/>
  <c r="F31" i="6"/>
  <c r="C31" i="6"/>
  <c r="D31" i="6" s="1"/>
  <c r="B31" i="6"/>
  <c r="F30" i="6"/>
  <c r="C30" i="6"/>
  <c r="D30" i="6" s="1"/>
  <c r="B30" i="6"/>
  <c r="C29" i="6"/>
  <c r="D29" i="6" s="1"/>
  <c r="B29" i="6"/>
  <c r="F29" i="6" s="1"/>
  <c r="C28" i="6"/>
  <c r="B28" i="6"/>
  <c r="F28" i="6" s="1"/>
  <c r="F27" i="6"/>
  <c r="C27" i="6"/>
  <c r="D27" i="6" s="1"/>
  <c r="B27" i="6"/>
  <c r="F26" i="6"/>
  <c r="C26" i="6"/>
  <c r="D26" i="6" s="1"/>
  <c r="B26" i="6"/>
  <c r="C25" i="6"/>
  <c r="D25" i="6" s="1"/>
  <c r="B25" i="6"/>
  <c r="F25" i="6" s="1"/>
  <c r="C24" i="6"/>
  <c r="B24" i="6"/>
  <c r="F24" i="6" s="1"/>
  <c r="F23" i="6"/>
  <c r="C23" i="6"/>
  <c r="D23" i="6" s="1"/>
  <c r="B23" i="6"/>
  <c r="F22" i="6"/>
  <c r="C22" i="6"/>
  <c r="D22" i="6" s="1"/>
  <c r="B22" i="6"/>
  <c r="C21" i="6"/>
  <c r="D21" i="6" s="1"/>
  <c r="B21" i="6"/>
  <c r="F21" i="6" s="1"/>
  <c r="C20" i="6"/>
  <c r="B20" i="6"/>
  <c r="F20" i="6" s="1"/>
  <c r="F19" i="6"/>
  <c r="C19" i="6"/>
  <c r="D19" i="6" s="1"/>
  <c r="B19" i="6"/>
  <c r="F18" i="6"/>
  <c r="C18" i="6"/>
  <c r="D18" i="6" s="1"/>
  <c r="B18" i="6"/>
  <c r="C17" i="6"/>
  <c r="D17" i="6" s="1"/>
  <c r="B17" i="6"/>
  <c r="F17" i="6" s="1"/>
  <c r="C16" i="6"/>
  <c r="B16" i="6"/>
  <c r="F16" i="6" s="1"/>
  <c r="F15" i="6"/>
  <c r="C15" i="6"/>
  <c r="D15" i="6" s="1"/>
  <c r="B15" i="6"/>
  <c r="F14" i="6"/>
  <c r="C14" i="6"/>
  <c r="D14" i="6" s="1"/>
  <c r="B14" i="6"/>
  <c r="C13" i="6"/>
  <c r="D13" i="6" s="1"/>
  <c r="B13" i="6"/>
  <c r="F13" i="6" s="1"/>
  <c r="C12" i="6"/>
  <c r="B12" i="6"/>
  <c r="F12" i="6" s="1"/>
  <c r="F11" i="6"/>
  <c r="C11" i="6"/>
  <c r="D11" i="6" s="1"/>
  <c r="B11" i="6"/>
  <c r="F10" i="6"/>
  <c r="C10" i="6"/>
  <c r="D10" i="6" s="1"/>
  <c r="B10" i="6"/>
  <c r="C9" i="6"/>
  <c r="D9" i="6" s="1"/>
  <c r="B9" i="6"/>
  <c r="F9" i="6" s="1"/>
  <c r="C8" i="6"/>
  <c r="B8" i="6"/>
  <c r="F8" i="6" s="1"/>
  <c r="F7" i="6"/>
  <c r="C7" i="6"/>
  <c r="B7" i="6"/>
  <c r="F6" i="6"/>
  <c r="C6" i="6"/>
  <c r="D6" i="6" s="1"/>
  <c r="B6" i="6"/>
  <c r="C5" i="6"/>
  <c r="D5" i="6" s="1"/>
  <c r="B5" i="6"/>
  <c r="F5" i="6" s="1"/>
  <c r="C27" i="5"/>
  <c r="C8" i="5"/>
  <c r="C7" i="5"/>
  <c r="C6" i="5"/>
  <c r="I44" i="4"/>
  <c r="H44" i="4"/>
  <c r="G44" i="4"/>
  <c r="F44" i="4"/>
  <c r="E44" i="4"/>
  <c r="D44" i="4"/>
  <c r="C44" i="4"/>
  <c r="B44" i="4"/>
  <c r="I43" i="4"/>
  <c r="H43" i="4"/>
  <c r="G43" i="4"/>
  <c r="F43" i="4"/>
  <c r="E43" i="4"/>
  <c r="D43" i="4"/>
  <c r="C43" i="4"/>
  <c r="B43" i="4"/>
  <c r="I42" i="4"/>
  <c r="H42" i="4"/>
  <c r="G42" i="4"/>
  <c r="F42" i="4"/>
  <c r="E42" i="4"/>
  <c r="D42" i="4"/>
  <c r="C42" i="4"/>
  <c r="B42" i="4"/>
  <c r="I41" i="4"/>
  <c r="H41" i="4"/>
  <c r="G41" i="4"/>
  <c r="F41" i="4"/>
  <c r="E41" i="4"/>
  <c r="D41" i="4"/>
  <c r="C41" i="4"/>
  <c r="B41" i="4"/>
  <c r="I40" i="4"/>
  <c r="H40" i="4"/>
  <c r="G40" i="4"/>
  <c r="F40" i="4"/>
  <c r="E40" i="4"/>
  <c r="D40" i="4"/>
  <c r="C40" i="4"/>
  <c r="B40" i="4"/>
  <c r="I39" i="4"/>
  <c r="H39" i="4"/>
  <c r="G39" i="4"/>
  <c r="F39" i="4"/>
  <c r="E39" i="4"/>
  <c r="D39" i="4"/>
  <c r="C39" i="4"/>
  <c r="B39" i="4"/>
  <c r="I38" i="4"/>
  <c r="H38" i="4"/>
  <c r="G38" i="4"/>
  <c r="F38" i="4"/>
  <c r="E38" i="4"/>
  <c r="D38" i="4"/>
  <c r="C38" i="4"/>
  <c r="B38" i="4"/>
  <c r="I37" i="4"/>
  <c r="H37" i="4"/>
  <c r="G37" i="4"/>
  <c r="F37" i="4"/>
  <c r="E37" i="4"/>
  <c r="D37" i="4"/>
  <c r="C37" i="4"/>
  <c r="B37" i="4"/>
  <c r="I36" i="4"/>
  <c r="H36" i="4"/>
  <c r="G36" i="4"/>
  <c r="F36" i="4"/>
  <c r="E36" i="4"/>
  <c r="D36" i="4"/>
  <c r="C36" i="4"/>
  <c r="B36" i="4"/>
  <c r="I35" i="4"/>
  <c r="H35" i="4"/>
  <c r="G35" i="4"/>
  <c r="F35" i="4"/>
  <c r="E35" i="4"/>
  <c r="D35" i="4"/>
  <c r="C35" i="4"/>
  <c r="B35" i="4"/>
  <c r="G34" i="4"/>
  <c r="E34" i="4"/>
  <c r="D34" i="4"/>
  <c r="F34" i="4" s="1"/>
  <c r="H34" i="4" s="1"/>
  <c r="C34" i="4"/>
  <c r="B34" i="4"/>
  <c r="G33" i="4"/>
  <c r="E33" i="4"/>
  <c r="D33" i="4"/>
  <c r="F33" i="4" s="1"/>
  <c r="H33" i="4" s="1"/>
  <c r="C33" i="4"/>
  <c r="B33" i="4"/>
  <c r="G32" i="4"/>
  <c r="E32" i="4"/>
  <c r="D32" i="4"/>
  <c r="F32" i="4" s="1"/>
  <c r="H32" i="4" s="1"/>
  <c r="C32" i="4"/>
  <c r="B32" i="4"/>
  <c r="G31" i="4"/>
  <c r="E31" i="4"/>
  <c r="D31" i="4"/>
  <c r="F31" i="4" s="1"/>
  <c r="H31" i="4" s="1"/>
  <c r="C31" i="4"/>
  <c r="B31" i="4"/>
  <c r="G30" i="4"/>
  <c r="E30" i="4"/>
  <c r="D30" i="4"/>
  <c r="F30" i="4" s="1"/>
  <c r="H30" i="4" s="1"/>
  <c r="C30" i="4"/>
  <c r="B30" i="4"/>
  <c r="G29" i="4"/>
  <c r="E29" i="4"/>
  <c r="D29" i="4"/>
  <c r="F29" i="4" s="1"/>
  <c r="H29" i="4" s="1"/>
  <c r="C29" i="4"/>
  <c r="B29" i="4"/>
  <c r="G28" i="4"/>
  <c r="E28" i="4"/>
  <c r="D28" i="4"/>
  <c r="F28" i="4" s="1"/>
  <c r="H28" i="4" s="1"/>
  <c r="C28" i="4"/>
  <c r="B28" i="4"/>
  <c r="G27" i="4"/>
  <c r="E27" i="4"/>
  <c r="D27" i="4"/>
  <c r="F27" i="4" s="1"/>
  <c r="H27" i="4" s="1"/>
  <c r="C27" i="4"/>
  <c r="B27" i="4"/>
  <c r="G26" i="4"/>
  <c r="E26" i="4"/>
  <c r="D26" i="4"/>
  <c r="F26" i="4" s="1"/>
  <c r="H26" i="4" s="1"/>
  <c r="C26" i="4"/>
  <c r="B26" i="4"/>
  <c r="G25" i="4"/>
  <c r="E25" i="4"/>
  <c r="D25" i="4"/>
  <c r="F25" i="4" s="1"/>
  <c r="H25" i="4" s="1"/>
  <c r="C25" i="4"/>
  <c r="B25" i="4"/>
  <c r="G24" i="4"/>
  <c r="E24" i="4"/>
  <c r="D24" i="4"/>
  <c r="C24" i="4"/>
  <c r="B24" i="4"/>
  <c r="G23" i="4"/>
  <c r="E23" i="4"/>
  <c r="D23" i="4"/>
  <c r="C23" i="4"/>
  <c r="B23" i="4"/>
  <c r="G22" i="4"/>
  <c r="E22" i="4"/>
  <c r="D22" i="4"/>
  <c r="C22" i="4"/>
  <c r="B22" i="4"/>
  <c r="G21" i="4"/>
  <c r="E21" i="4"/>
  <c r="D21" i="4"/>
  <c r="F21" i="4" s="1"/>
  <c r="H21" i="4" s="1"/>
  <c r="C21" i="4"/>
  <c r="B21" i="4"/>
  <c r="G20" i="4"/>
  <c r="E20" i="4"/>
  <c r="D20" i="4"/>
  <c r="C20" i="4"/>
  <c r="B20" i="4"/>
  <c r="G19" i="4"/>
  <c r="E19" i="4"/>
  <c r="D19" i="4"/>
  <c r="C19" i="4"/>
  <c r="B19" i="4"/>
  <c r="G18" i="4"/>
  <c r="E18" i="4"/>
  <c r="D18" i="4"/>
  <c r="C18" i="4"/>
  <c r="B18" i="4"/>
  <c r="G17" i="4"/>
  <c r="E17" i="4"/>
  <c r="D17" i="4"/>
  <c r="F17" i="4" s="1"/>
  <c r="H17" i="4" s="1"/>
  <c r="C17" i="4"/>
  <c r="B17" i="4"/>
  <c r="G16" i="4"/>
  <c r="E16" i="4"/>
  <c r="D16" i="4"/>
  <c r="C16" i="4"/>
  <c r="B16" i="4"/>
  <c r="G15" i="4"/>
  <c r="E15" i="4"/>
  <c r="D15" i="4"/>
  <c r="C15" i="4"/>
  <c r="B15" i="4"/>
  <c r="G14" i="4"/>
  <c r="E14" i="4"/>
  <c r="D14" i="4"/>
  <c r="C14" i="4"/>
  <c r="B14" i="4"/>
  <c r="G13" i="4"/>
  <c r="E13" i="4"/>
  <c r="D13" i="4"/>
  <c r="F13" i="4" s="1"/>
  <c r="H13" i="4" s="1"/>
  <c r="C13" i="4"/>
  <c r="B13" i="4"/>
  <c r="G12" i="4"/>
  <c r="E12" i="4"/>
  <c r="D12" i="4"/>
  <c r="C12" i="4"/>
  <c r="B12" i="4"/>
  <c r="G11" i="4"/>
  <c r="E11" i="4"/>
  <c r="D11" i="4"/>
  <c r="C11" i="4"/>
  <c r="B11" i="4"/>
  <c r="G10" i="4"/>
  <c r="D10" i="4"/>
  <c r="C10" i="4"/>
  <c r="B10" i="4"/>
  <c r="G9" i="4"/>
  <c r="E9" i="4"/>
  <c r="D9" i="4"/>
  <c r="F9" i="4" s="1"/>
  <c r="H9" i="4" s="1"/>
  <c r="C9" i="4"/>
  <c r="B9" i="4"/>
  <c r="G8" i="4"/>
  <c r="E8" i="4"/>
  <c r="D8" i="4"/>
  <c r="F8" i="4" s="1"/>
  <c r="H8" i="4" s="1"/>
  <c r="C8" i="4"/>
  <c r="B8" i="4"/>
  <c r="G7" i="4"/>
  <c r="E7" i="4"/>
  <c r="D7" i="4"/>
  <c r="C7" i="4"/>
  <c r="B7" i="4"/>
  <c r="G6" i="4"/>
  <c r="E6" i="4"/>
  <c r="D6" i="4"/>
  <c r="C6" i="4"/>
  <c r="B6" i="4"/>
  <c r="G5" i="4"/>
  <c r="E5" i="4"/>
  <c r="D5" i="4"/>
  <c r="F5" i="4" s="1"/>
  <c r="B5" i="4"/>
  <c r="C25" i="3"/>
  <c r="C14" i="3"/>
  <c r="C13" i="3"/>
  <c r="C12" i="3"/>
  <c r="C7" i="3"/>
  <c r="C6" i="3"/>
  <c r="C5" i="3"/>
  <c r="F6" i="4" l="1"/>
  <c r="H6" i="4" s="1"/>
  <c r="F16" i="4"/>
  <c r="H16" i="4" s="1"/>
  <c r="F24" i="4"/>
  <c r="H24" i="4" s="1"/>
  <c r="C17" i="3"/>
  <c r="F7" i="4"/>
  <c r="H7" i="4" s="1"/>
  <c r="F15" i="4"/>
  <c r="H15" i="4" s="1"/>
  <c r="F12" i="4"/>
  <c r="H12" i="4" s="1"/>
  <c r="F20" i="4"/>
  <c r="H20" i="4" s="1"/>
  <c r="H5" i="4"/>
  <c r="C18" i="3"/>
  <c r="F14" i="4"/>
  <c r="H14" i="4" s="1"/>
  <c r="F22" i="4"/>
  <c r="H22" i="4" s="1"/>
  <c r="F11" i="4"/>
  <c r="H11" i="4" s="1"/>
  <c r="F19" i="4"/>
  <c r="H19" i="4" s="1"/>
  <c r="F10" i="4"/>
  <c r="H10" i="4" s="1"/>
  <c r="F18" i="4"/>
  <c r="H18" i="4" s="1"/>
  <c r="F23" i="4"/>
  <c r="H23" i="4" s="1"/>
  <c r="D8" i="6"/>
  <c r="D12" i="6"/>
  <c r="D16" i="6"/>
  <c r="D20" i="6"/>
  <c r="D24" i="6"/>
  <c r="D28" i="6"/>
  <c r="D32" i="6"/>
  <c r="D7" i="6"/>
  <c r="C19" i="3" l="1"/>
  <c r="E30" i="6"/>
  <c r="E26" i="6"/>
  <c r="E22" i="6"/>
  <c r="E18" i="6"/>
  <c r="E14" i="6"/>
  <c r="E10" i="6"/>
  <c r="E6" i="6"/>
  <c r="C12" i="5"/>
  <c r="C15" i="5" s="1"/>
  <c r="C18" i="5" s="1"/>
  <c r="C27" i="3"/>
  <c r="C26" i="3"/>
  <c r="C21" i="5"/>
  <c r="C5" i="5"/>
  <c r="C23" i="3"/>
  <c r="C22" i="3"/>
  <c r="C24" i="3"/>
  <c r="E28" i="6"/>
  <c r="E8" i="6"/>
  <c r="E29" i="6"/>
  <c r="E33" i="6"/>
  <c r="E5" i="6"/>
  <c r="E19" i="6"/>
  <c r="E9" i="6"/>
  <c r="E7" i="6"/>
  <c r="E13" i="6"/>
  <c r="E27" i="6"/>
  <c r="E17" i="6"/>
  <c r="E31" i="6"/>
  <c r="E11" i="6"/>
  <c r="E16" i="6"/>
  <c r="E24" i="6"/>
  <c r="E32" i="6"/>
  <c r="E21" i="6"/>
  <c r="E12" i="6"/>
  <c r="E25" i="6"/>
  <c r="E15" i="6"/>
  <c r="E20" i="6"/>
  <c r="E23" i="6"/>
  <c r="H45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F45" i="4"/>
  <c r="C26" i="5" l="1"/>
  <c r="G18" i="6"/>
  <c r="G23" i="7"/>
  <c r="H23" i="7" s="1"/>
  <c r="G28" i="7"/>
  <c r="H28" i="7" s="1"/>
  <c r="G9" i="7"/>
  <c r="H9" i="7" s="1"/>
  <c r="G6" i="7"/>
  <c r="H6" i="7" s="1"/>
  <c r="G12" i="6"/>
  <c r="E13" i="7"/>
  <c r="F13" i="7" s="1"/>
  <c r="E10" i="7"/>
  <c r="F10" i="7" s="1"/>
  <c r="G11" i="6"/>
  <c r="G27" i="6"/>
  <c r="E23" i="7"/>
  <c r="F23" i="7" s="1"/>
  <c r="G15" i="7"/>
  <c r="H15" i="7" s="1"/>
  <c r="G29" i="6"/>
  <c r="E5" i="7"/>
  <c r="F5" i="7" s="1"/>
  <c r="E25" i="7"/>
  <c r="F25" i="7" s="1"/>
  <c r="G9" i="6"/>
  <c r="E11" i="7"/>
  <c r="F11" i="7" s="1"/>
  <c r="E8" i="7"/>
  <c r="F8" i="7" s="1"/>
  <c r="G16" i="6"/>
  <c r="G19" i="7"/>
  <c r="H19" i="7" s="1"/>
  <c r="G16" i="7"/>
  <c r="H16" i="7" s="1"/>
  <c r="G29" i="7"/>
  <c r="H29" i="7" s="1"/>
  <c r="G10" i="6"/>
  <c r="G20" i="7"/>
  <c r="H20" i="7" s="1"/>
  <c r="C28" i="5"/>
  <c r="G22" i="6"/>
  <c r="G26" i="6"/>
  <c r="C25" i="5"/>
  <c r="G13" i="6"/>
  <c r="G17" i="7"/>
  <c r="H17" i="7" s="1"/>
  <c r="G14" i="7"/>
  <c r="H14" i="7" s="1"/>
  <c r="G20" i="6"/>
  <c r="E21" i="7"/>
  <c r="F21" i="7" s="1"/>
  <c r="E18" i="7"/>
  <c r="F18" i="7" s="1"/>
  <c r="G15" i="6"/>
  <c r="G31" i="6"/>
  <c r="G10" i="7"/>
  <c r="H10" i="7" s="1"/>
  <c r="G30" i="6"/>
  <c r="E6" i="7"/>
  <c r="F6" i="7" s="1"/>
  <c r="G17" i="6"/>
  <c r="E19" i="7"/>
  <c r="F19" i="7" s="1"/>
  <c r="E16" i="7"/>
  <c r="F16" i="7" s="1"/>
  <c r="G24" i="6"/>
  <c r="G27" i="7"/>
  <c r="H27" i="7" s="1"/>
  <c r="G24" i="7"/>
  <c r="H24" i="7" s="1"/>
  <c r="G5" i="7"/>
  <c r="H5" i="7" s="1"/>
  <c r="E12" i="7"/>
  <c r="F12" i="7" s="1"/>
  <c r="G7" i="7"/>
  <c r="H7" i="7" s="1"/>
  <c r="G12" i="7"/>
  <c r="H12" i="7" s="1"/>
  <c r="G21" i="6"/>
  <c r="G25" i="7"/>
  <c r="H25" i="7" s="1"/>
  <c r="G22" i="7"/>
  <c r="H22" i="7" s="1"/>
  <c r="G28" i="6"/>
  <c r="E29" i="7"/>
  <c r="F29" i="7" s="1"/>
  <c r="E26" i="7"/>
  <c r="F26" i="7" s="1"/>
  <c r="G19" i="6"/>
  <c r="E7" i="7"/>
  <c r="F7" i="7" s="1"/>
  <c r="G18" i="7"/>
  <c r="H18" i="7" s="1"/>
  <c r="G6" i="6"/>
  <c r="E9" i="7"/>
  <c r="F9" i="7" s="1"/>
  <c r="E14" i="7"/>
  <c r="F14" i="7" s="1"/>
  <c r="G25" i="6"/>
  <c r="E27" i="7"/>
  <c r="F27" i="7" s="1"/>
  <c r="E24" i="7"/>
  <c r="F24" i="7" s="1"/>
  <c r="G32" i="6"/>
  <c r="G13" i="7"/>
  <c r="H13" i="7" s="1"/>
  <c r="E20" i="7"/>
  <c r="F20" i="7" s="1"/>
  <c r="G7" i="6"/>
  <c r="G23" i="6"/>
  <c r="E15" i="7"/>
  <c r="F15" i="7" s="1"/>
  <c r="G26" i="7"/>
  <c r="H26" i="7" s="1"/>
  <c r="G14" i="6"/>
  <c r="E17" i="7"/>
  <c r="F17" i="7" s="1"/>
  <c r="E22" i="7"/>
  <c r="F22" i="7" s="1"/>
  <c r="G33" i="6"/>
  <c r="G5" i="6"/>
  <c r="G8" i="6"/>
  <c r="G11" i="7"/>
  <c r="H11" i="7" s="1"/>
  <c r="G8" i="7"/>
  <c r="H8" i="7" s="1"/>
  <c r="G21" i="7"/>
  <c r="H21" i="7" s="1"/>
  <c r="E28" i="7"/>
  <c r="F28" i="7" s="1"/>
</calcChain>
</file>

<file path=xl/sharedStrings.xml><?xml version="1.0" encoding="utf-8"?>
<sst xmlns="http://schemas.openxmlformats.org/spreadsheetml/2006/main" count="146" uniqueCount="141">
  <si>
    <t>Fixed Income Analytics · Bond Pricing &amp; Risk Workbook</t>
  </si>
  <si>
    <t>Workbook Version</t>
  </si>
  <si>
    <t>1.0</t>
  </si>
  <si>
    <t>Model Type</t>
  </si>
  <si>
    <t>Classification</t>
  </si>
  <si>
    <t>Internal Use Only</t>
  </si>
  <si>
    <t>Business Unit</t>
  </si>
  <si>
    <t>Corporate &amp; Investment Bank</t>
  </si>
  <si>
    <t>Desk</t>
  </si>
  <si>
    <t>Fixed Income · Rates Strategy</t>
  </si>
  <si>
    <t>Prepared by</t>
  </si>
  <si>
    <t>Reviewed by</t>
  </si>
  <si>
    <t>DISCLAIMER: For educational/training purposes only (JPMorgan Forage). Does not constitute investment advice. Formula outputs depend on analyst inputs in yellow cells.</t>
  </si>
  <si>
    <t>Worksheet Guide</t>
  </si>
  <si>
    <t>Assumptions</t>
  </si>
  <si>
    <t>Pricing</t>
  </si>
  <si>
    <t>Bond price, YTM, current yield, price vs par</t>
  </si>
  <si>
    <t>Cash Flows</t>
  </si>
  <si>
    <t>Full coupon schedule with discount factors and PV</t>
  </si>
  <si>
    <t>Risk Metrics</t>
  </si>
  <si>
    <t>Duration, modified duration, DV01, convexity, shock estimates</t>
  </si>
  <si>
    <t>Price-Yield</t>
  </si>
  <si>
    <t>29-scenario price vs yield table</t>
  </si>
  <si>
    <t>Scenario Analysis</t>
  </si>
  <si>
    <t>Yield shock comparison: true reprice vs approximations</t>
  </si>
  <si>
    <t>Color Convention</t>
  </si>
  <si>
    <t xml:space="preserve">  Sample</t>
  </si>
  <si>
    <t>Cross-sheet link (green text)</t>
  </si>
  <si>
    <t>BOND TERMS</t>
  </si>
  <si>
    <t>Issuer / Bond Name</t>
  </si>
  <si>
    <t>Face / Par Value ($)</t>
  </si>
  <si>
    <t>Annual Coupon Rate (%)</t>
  </si>
  <si>
    <t>Years to Maturity</t>
  </si>
  <si>
    <t>Coupon Frequency (p.a.)</t>
  </si>
  <si>
    <t>Settlement Date</t>
  </si>
  <si>
    <t>2024-01-15</t>
  </si>
  <si>
    <t>Maturity Date</t>
  </si>
  <si>
    <t>2034-01-15</t>
  </si>
  <si>
    <t>MARKET INPUTS</t>
  </si>
  <si>
    <t>Market Yield / YTM (annual %)</t>
  </si>
  <si>
    <t>Market Price Override (leave 0 to use yield)</t>
  </si>
  <si>
    <t>NAMED RANGE GUIDE</t>
  </si>
  <si>
    <t>FaceValue</t>
  </si>
  <si>
    <t>Assumptions!C6</t>
  </si>
  <si>
    <t>CouponRate</t>
  </si>
  <si>
    <t>Assumptions!C7</t>
  </si>
  <si>
    <t>Maturity</t>
  </si>
  <si>
    <t>Assumptions!C8</t>
  </si>
  <si>
    <t>Freq</t>
  </si>
  <si>
    <t>Assumptions!C9</t>
  </si>
  <si>
    <t>MarketYield</t>
  </si>
  <si>
    <t>Assumptions!C14</t>
  </si>
  <si>
    <t>LINKED INPUTS</t>
  </si>
  <si>
    <t>Face Value ($)</t>
  </si>
  <si>
    <t>Annual Coupon Rate</t>
  </si>
  <si>
    <t>Market Yield (annual)</t>
  </si>
  <si>
    <t>DERIVED QUANTITIES</t>
  </si>
  <si>
    <t>Number of Coupon Periods (N)</t>
  </si>
  <si>
    <t>Periodic Coupon ($)</t>
  </si>
  <si>
    <t>Periodic Yield (r = YTM/Freq)</t>
  </si>
  <si>
    <t>BOND PRICE  [P = C×(1–(1+r)^–N)/r  +  F×(1+r)^–N]</t>
  </si>
  <si>
    <t>PV of Coupon Annuity  [C×(1–(1+r)^–N)/r]</t>
  </si>
  <si>
    <t>PV of Par at Maturity  [F×(1+r)^–N]</t>
  </si>
  <si>
    <t>CLEAN PRICE  ($)</t>
  </si>
  <si>
    <t>PRICE ANALYSIS</t>
  </si>
  <si>
    <t>Price as % of Par</t>
  </si>
  <si>
    <t>Dollar Premium (+) / Discount (–)</t>
  </si>
  <si>
    <t>Trading Status</t>
  </si>
  <si>
    <t>Annual Coupon Income ($)</t>
  </si>
  <si>
    <t>Current Yield</t>
  </si>
  <si>
    <t>Simple Yield (approx. YTM proxy)</t>
  </si>
  <si>
    <t>Period</t>
  </si>
  <si>
    <t>Time (yrs)</t>
  </si>
  <si>
    <t>Coupon ($)</t>
  </si>
  <si>
    <t>Principal ($)</t>
  </si>
  <si>
    <t>Total CF ($)</t>
  </si>
  <si>
    <t>Disc. Factor</t>
  </si>
  <si>
    <t>PV of CF ($)</t>
  </si>
  <si>
    <t>Cumul. PV ($)</t>
  </si>
  <si>
    <t>TOTALS</t>
  </si>
  <si>
    <t>Check: Sum of PV column should equal Clean Price on Pricing tab (rounding may cause minor differences).</t>
  </si>
  <si>
    <t>LINKED PRICES &amp; RATES</t>
  </si>
  <si>
    <t>Clean Price ($)</t>
  </si>
  <si>
    <t>Annual YTM</t>
  </si>
  <si>
    <t>Periodic Yield (r)</t>
  </si>
  <si>
    <t>Coupon Freq.</t>
  </si>
  <si>
    <t>Periods (N)</t>
  </si>
  <si>
    <t>MACAULAY DURATION  [Σ t×PV(CF_t) / P]</t>
  </si>
  <si>
    <t>Macaulay Duration (years)</t>
  </si>
  <si>
    <t>MODIFIED DURATION  [MacD / (1+r)]</t>
  </si>
  <si>
    <t>Modified Duration</t>
  </si>
  <si>
    <t>Macaulay Duration / (1 + r)</t>
  </si>
  <si>
    <t>DV01  [ModDur × Price × 0.0001]</t>
  </si>
  <si>
    <t>DV01 — Dollar Value of 1 Basis Point ($)</t>
  </si>
  <si>
    <t>≈ Mod. Duration × Price × 0.0001</t>
  </si>
  <si>
    <t>CONVEXITY  [Σ t(t+1)×PV(CF_t) / (P×(1+r)²×Freq²)]</t>
  </si>
  <si>
    <t>Convexity (annual)</t>
  </si>
  <si>
    <t>PRICE SENSITIVITY — Duration &amp; Convexity Approximation</t>
  </si>
  <si>
    <t>Yield Shock Input (basis points)</t>
  </si>
  <si>
    <t>Duration-Only Price Estimate ($)</t>
  </si>
  <si>
    <t>P×(1−ModDur×Δy)</t>
  </si>
  <si>
    <t>Duration + Convexity Estimate ($)</t>
  </si>
  <si>
    <t>P×(1−ModDur×Δy+½Conv×Δy²)</t>
  </si>
  <si>
    <t>True Repriced Bond ($)</t>
  </si>
  <si>
    <t>Full DCF at shocked yield</t>
  </si>
  <si>
    <t>Convexity Benefit ($)</t>
  </si>
  <si>
    <t>True Price − Duration-Only estimate</t>
  </si>
  <si>
    <t>Yield (%)</t>
  </si>
  <si>
    <t>Price / Par</t>
  </si>
  <si>
    <t>Δ Price ($)</t>
  </si>
  <si>
    <t>Status</t>
  </si>
  <si>
    <t>Dur-Only Est ($)</t>
  </si>
  <si>
    <t>Yellow row = current market yield. Status based on yield vs coupon rate: yield&gt;coupon→Discount, yield&lt;coupon→Premium.</t>
  </si>
  <si>
    <t>Shock (bps)</t>
  </si>
  <si>
    <t>Shock (%)</t>
  </si>
  <si>
    <t>True Repriced ($)</t>
  </si>
  <si>
    <t>Dur-Only ($)</t>
  </si>
  <si>
    <t>Dur-Only Err ($)</t>
  </si>
  <si>
    <t>Dur+Conv ($)</t>
  </si>
  <si>
    <t>Dur+Conv Err ($)</t>
  </si>
  <si>
    <t>Error = Approximation − True Repriced. Convexity correction should reduce |error| for large shocks. Yellow row = zero shock (base case).</t>
  </si>
  <si>
    <t>Fixed Coupon Bond Valuation</t>
  </si>
  <si>
    <t xml:space="preserve">Yari </t>
  </si>
  <si>
    <t xml:space="preserve">VP / Associate </t>
  </si>
  <si>
    <t>Bond terms and market inputs: yellow cells are editable</t>
  </si>
  <si>
    <t>Hardcoded input, analyst editable</t>
  </si>
  <si>
    <t>Formula / calculated, don't overwrite</t>
  </si>
  <si>
    <t>Yariverse Bank  |  Fixed Income Analytics  |  Scenario Analysis</t>
  </si>
  <si>
    <t>Yariverse Bank  |  Fixed Income Analytics  |  Price–Yield Table</t>
  </si>
  <si>
    <t>Yariverse Bank  |  Fixed Income Analytics  |  Risk Metrics</t>
  </si>
  <si>
    <t>Yariverse Bank.  |  Fixed Income Analytics  |  Cash Flow Schedule</t>
  </si>
  <si>
    <t>Yariverse Bank.  |  Fixed Income Analytics  |  Bond Pricing</t>
  </si>
  <si>
    <t>Yariverse bank |  Fixed Income Analytics  |  Bond Assumptions</t>
  </si>
  <si>
    <t>Yariverse Bank 5.00% 2034</t>
  </si>
  <si>
    <t>CASH FLOW SCHEDULE:  Period-by-period coupon strip with discounted PVs</t>
  </si>
  <si>
    <t>RISK METRICS : Macaulay Duration · Modified Duration · DV01 · Convexity</t>
  </si>
  <si>
    <t>PRICE-YIELD TABLE :  29 scenarios ±7% around market yield</t>
  </si>
  <si>
    <t>SCENARIO ANALYSIS : True Reprice vs. Duration vs. Duration+Convexity Approximations</t>
  </si>
  <si>
    <t>PRICING  :  Outputs driven by Assumptions tab</t>
  </si>
  <si>
    <t>ASSUMPTIONS  :  All yellow cells are analyst-editable inputs</t>
  </si>
  <si>
    <t>Yariverse Bank (fictional 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</si>
</sst>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"/>
    <numFmt numFmtId="166" formatCode="0.0000%"/>
    <numFmt numFmtId="167" formatCode="\$#,##0.00_);&quot;($&quot;#,##0.00\)"/>
    <numFmt numFmtId="168" formatCode="0.000000"/>
    <numFmt numFmtId="169" formatCode="0.0000"/>
    <numFmt numFmtId="170" formatCode="\$#,##0.0000"/>
  </numFmts>
  <fonts count="19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sz val="12"/>
      <color rgb="FFFFF3C0"/>
      <name val="Arial"/>
      <family val="2"/>
    </font>
    <font>
      <b/>
      <sz val="10"/>
      <color rgb="FF003087"/>
      <name val="Arial"/>
      <family val="2"/>
    </font>
    <font>
      <sz val="10"/>
      <color rgb="FF000000"/>
      <name val="Arial"/>
      <family val="2"/>
    </font>
    <font>
      <i/>
      <sz val="9"/>
      <color rgb="FF888888"/>
      <name val="Arial"/>
      <family val="2"/>
    </font>
    <font>
      <b/>
      <sz val="11"/>
      <color rgb="FF003087"/>
      <name val="Arial"/>
      <family val="2"/>
    </font>
    <font>
      <b/>
      <sz val="10"/>
      <color rgb="FF0A4595"/>
      <name val="Arial"/>
      <family val="2"/>
    </font>
    <font>
      <sz val="10"/>
      <color rgb="FF0000FF"/>
      <name val="Arial"/>
      <family val="2"/>
    </font>
    <font>
      <sz val="10"/>
      <color rgb="FF0064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3087"/>
        <bgColor rgb="FF0A4595"/>
      </patternFill>
    </fill>
    <fill>
      <patternFill patternType="solid">
        <fgColor rgb="FFFFF3C0"/>
        <bgColor rgb="FFFFFF99"/>
      </patternFill>
    </fill>
    <fill>
      <patternFill patternType="solid">
        <fgColor rgb="FFF5F5F5"/>
        <bgColor rgb="FFFFFFFF"/>
      </patternFill>
    </fill>
    <fill>
      <patternFill patternType="solid">
        <fgColor rgb="FFD0DCF0"/>
        <bgColor rgb="FFCCFFFF"/>
      </patternFill>
    </fill>
    <fill>
      <patternFill patternType="solid">
        <fgColor rgb="FF0A4595"/>
        <bgColor rgb="FF003087"/>
      </patternFill>
    </fill>
    <fill>
      <patternFill patternType="solid">
        <fgColor rgb="FFFFFFFF"/>
        <bgColor rgb="FFF5F5F5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3087"/>
      </left>
      <right/>
      <top style="medium">
        <color rgb="FF003087"/>
      </top>
      <bottom style="medium">
        <color rgb="FF003087"/>
      </bottom>
      <diagonal/>
    </border>
    <border>
      <left style="medium">
        <color rgb="FF0A4595"/>
      </left>
      <right/>
      <top style="medium">
        <color rgb="FF0A4595"/>
      </top>
      <bottom style="medium">
        <color rgb="FF0A4595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B5961A"/>
      </left>
      <right style="medium">
        <color rgb="FFB5961A"/>
      </right>
      <top style="medium">
        <color rgb="FFB5961A"/>
      </top>
      <bottom style="medium">
        <color rgb="FFB5961A"/>
      </bottom>
      <diagonal/>
    </border>
    <border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4" fillId="4" borderId="1" xfId="0" applyFont="1" applyFill="1" applyBorder="1"/>
    <xf numFmtId="0" fontId="9" fillId="5" borderId="1" xfId="0" applyFont="1" applyFill="1" applyBorder="1"/>
    <xf numFmtId="0" fontId="0" fillId="7" borderId="0" xfId="0" applyFill="1"/>
    <xf numFmtId="0" fontId="4" fillId="5" borderId="1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right" vertical="center"/>
    </xf>
    <xf numFmtId="164" fontId="8" fillId="3" borderId="5" xfId="0" applyNumberFormat="1" applyFont="1" applyFill="1" applyBorder="1" applyAlignment="1">
      <alignment horizontal="right" vertical="center"/>
    </xf>
    <xf numFmtId="10" fontId="8" fillId="3" borderId="5" xfId="0" applyNumberFormat="1" applyFont="1" applyFill="1" applyBorder="1" applyAlignment="1">
      <alignment horizontal="right" vertical="center"/>
    </xf>
    <xf numFmtId="165" fontId="8" fillId="3" borderId="5" xfId="0" applyNumberFormat="1" applyFont="1" applyFill="1" applyBorder="1" applyAlignment="1">
      <alignment horizontal="right" vertical="center"/>
    </xf>
    <xf numFmtId="1" fontId="8" fillId="3" borderId="5" xfId="0" applyNumberFormat="1" applyFont="1" applyFill="1" applyBorder="1" applyAlignment="1">
      <alignment horizontal="right" vertical="center"/>
    </xf>
    <xf numFmtId="166" fontId="8" fillId="3" borderId="5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10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" fontId="9" fillId="5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right" vertical="center"/>
    </xf>
    <xf numFmtId="164" fontId="13" fillId="4" borderId="1" xfId="0" applyNumberFormat="1" applyFont="1" applyFill="1" applyBorder="1" applyAlignment="1">
      <alignment horizontal="right" vertical="center"/>
    </xf>
    <xf numFmtId="168" fontId="13" fillId="4" borderId="1" xfId="0" applyNumberFormat="1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center" vertical="center"/>
    </xf>
    <xf numFmtId="0" fontId="0" fillId="5" borderId="6" xfId="0" applyFill="1" applyBorder="1"/>
    <xf numFmtId="164" fontId="3" fillId="5" borderId="6" xfId="0" applyNumberFormat="1" applyFont="1" applyFill="1" applyBorder="1" applyAlignment="1">
      <alignment horizontal="right" vertical="center"/>
    </xf>
    <xf numFmtId="0" fontId="5" fillId="0" borderId="0" xfId="0" applyFont="1"/>
    <xf numFmtId="169" fontId="9" fillId="4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70" fontId="9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0" fontId="13" fillId="4" borderId="1" xfId="0" applyNumberFormat="1" applyFont="1" applyFill="1" applyBorder="1" applyAlignment="1">
      <alignment horizontal="right" vertical="center"/>
    </xf>
    <xf numFmtId="167" fontId="13" fillId="4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center" vertical="center"/>
    </xf>
    <xf numFmtId="10" fontId="14" fillId="3" borderId="1" xfId="0" applyNumberFormat="1" applyFont="1" applyFill="1" applyBorder="1" applyAlignment="1">
      <alignment horizontal="right" vertical="center"/>
    </xf>
    <xf numFmtId="164" fontId="14" fillId="3" borderId="1" xfId="0" applyNumberFormat="1" applyFont="1" applyFill="1" applyBorder="1" applyAlignment="1">
      <alignment horizontal="right" vertical="center"/>
    </xf>
    <xf numFmtId="1" fontId="13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right" vertical="center"/>
    </xf>
    <xf numFmtId="167" fontId="13" fillId="3" borderId="1" xfId="0" applyNumberFormat="1" applyFont="1" applyFill="1" applyBorder="1" applyAlignment="1">
      <alignment horizontal="right" vertical="center"/>
    </xf>
    <xf numFmtId="0" fontId="16" fillId="0" borderId="0" xfId="0" applyFont="1"/>
    <xf numFmtId="0" fontId="17" fillId="3" borderId="5" xfId="0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 applyAlignment="1">
      <alignment vertical="top" wrapText="1"/>
    </xf>
    <xf numFmtId="0" fontId="1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B5961A"/>
      <rgbColor rgb="FF800080"/>
      <rgbColor rgb="FF008080"/>
      <rgbColor rgb="FFBFBFBF"/>
      <rgbColor rgb="FF888888"/>
      <rgbColor rgb="FF9999FF"/>
      <rgbColor rgb="FF993366"/>
      <rgbColor rgb="FFFFF3C0"/>
      <rgbColor rgb="FFF5F5F5"/>
      <rgbColor rgb="FF660066"/>
      <rgbColor rgb="FFFF8080"/>
      <rgbColor rgb="FF0066CC"/>
      <rgbColor rgb="FFD0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087"/>
      <rgbColor rgb="FF339966"/>
      <rgbColor rgb="FF003300"/>
      <rgbColor rgb="FF333300"/>
      <rgbColor rgb="FF993300"/>
      <rgbColor rgb="FF993366"/>
      <rgbColor rgb="FF0A45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tabSelected="1" zoomScaleNormal="100" workbookViewId="0">
      <selection activeCell="B19" sqref="B19:D21"/>
    </sheetView>
  </sheetViews>
  <sheetFormatPr baseColWidth="10" defaultColWidth="8.6640625" defaultRowHeight="15" x14ac:dyDescent="0.2"/>
  <cols>
    <col min="1" max="1" width="2" customWidth="1"/>
    <col min="2" max="3" width="36" customWidth="1"/>
    <col min="4" max="4" width="46.83203125" customWidth="1"/>
    <col min="5" max="5" width="25" customWidth="1"/>
  </cols>
  <sheetData>
    <row r="1" spans="1:5" ht="15" customHeight="1" x14ac:dyDescent="0.2">
      <c r="A1" s="1"/>
      <c r="B1" s="1"/>
      <c r="C1" s="1"/>
      <c r="D1" s="1"/>
      <c r="E1" s="1"/>
    </row>
    <row r="2" spans="1:5" ht="15" customHeight="1" x14ac:dyDescent="0.2">
      <c r="A2" s="1"/>
      <c r="B2" s="1"/>
      <c r="C2" s="1"/>
      <c r="D2" s="1"/>
      <c r="E2" s="1"/>
    </row>
    <row r="3" spans="1:5" ht="15" customHeight="1" x14ac:dyDescent="0.2">
      <c r="A3" s="1"/>
      <c r="B3" s="55" t="s">
        <v>140</v>
      </c>
      <c r="C3" s="56"/>
      <c r="D3" s="56"/>
      <c r="E3" s="1"/>
    </row>
    <row r="4" spans="1:5" ht="15" customHeight="1" x14ac:dyDescent="0.2">
      <c r="A4" s="1"/>
      <c r="B4" s="56"/>
      <c r="C4" s="56"/>
      <c r="D4" s="56"/>
      <c r="E4" s="1"/>
    </row>
    <row r="5" spans="1:5" ht="15" customHeight="1" x14ac:dyDescent="0.2">
      <c r="A5" s="1"/>
      <c r="B5" s="56"/>
      <c r="C5" s="56"/>
      <c r="D5" s="56"/>
      <c r="E5" s="1"/>
    </row>
    <row r="6" spans="1:5" ht="15" customHeight="1" x14ac:dyDescent="0.2">
      <c r="A6" s="1"/>
      <c r="B6" s="57" t="s">
        <v>0</v>
      </c>
      <c r="C6" s="57"/>
      <c r="D6" s="57"/>
      <c r="E6" s="1"/>
    </row>
    <row r="7" spans="1:5" ht="15" customHeight="1" x14ac:dyDescent="0.2">
      <c r="A7" s="1"/>
      <c r="B7" s="57"/>
      <c r="C7" s="57"/>
      <c r="D7" s="57"/>
      <c r="E7" s="1"/>
    </row>
    <row r="8" spans="1:5" ht="15" customHeight="1" x14ac:dyDescent="0.2">
      <c r="A8" s="1"/>
      <c r="B8" s="1"/>
      <c r="C8" s="1"/>
      <c r="D8" s="1"/>
      <c r="E8" s="1"/>
    </row>
    <row r="11" spans="1:5" ht="15" customHeight="1" x14ac:dyDescent="0.2">
      <c r="B11" s="2" t="s">
        <v>1</v>
      </c>
      <c r="C11" s="3" t="s">
        <v>2</v>
      </c>
    </row>
    <row r="12" spans="1:5" ht="15" customHeight="1" x14ac:dyDescent="0.2">
      <c r="B12" s="2" t="s">
        <v>3</v>
      </c>
      <c r="C12" s="52" t="s">
        <v>121</v>
      </c>
    </row>
    <row r="13" spans="1:5" ht="15" customHeight="1" x14ac:dyDescent="0.2">
      <c r="B13" s="2" t="s">
        <v>4</v>
      </c>
      <c r="C13" s="3" t="s">
        <v>5</v>
      </c>
    </row>
    <row r="14" spans="1:5" ht="15" customHeight="1" x14ac:dyDescent="0.2">
      <c r="B14" s="2" t="s">
        <v>6</v>
      </c>
      <c r="C14" s="3" t="s">
        <v>7</v>
      </c>
    </row>
    <row r="15" spans="1:5" ht="15" customHeight="1" x14ac:dyDescent="0.2">
      <c r="B15" s="2" t="s">
        <v>8</v>
      </c>
      <c r="C15" s="3" t="s">
        <v>9</v>
      </c>
    </row>
    <row r="16" spans="1:5" ht="15" customHeight="1" x14ac:dyDescent="0.2">
      <c r="B16" s="2" t="s">
        <v>10</v>
      </c>
      <c r="C16" s="52" t="s">
        <v>122</v>
      </c>
    </row>
    <row r="17" spans="2:4" ht="15" customHeight="1" x14ac:dyDescent="0.2">
      <c r="B17" s="2" t="s">
        <v>11</v>
      </c>
      <c r="C17" s="52" t="s">
        <v>123</v>
      </c>
    </row>
    <row r="19" spans="2:4" ht="42" customHeight="1" x14ac:dyDescent="0.2">
      <c r="B19" s="58" t="s">
        <v>12</v>
      </c>
      <c r="C19" s="58"/>
      <c r="D19" s="58"/>
    </row>
    <row r="20" spans="2:4" ht="15" customHeight="1" x14ac:dyDescent="0.2">
      <c r="B20" s="58"/>
      <c r="C20" s="58"/>
      <c r="D20" s="58"/>
    </row>
    <row r="21" spans="2:4" ht="15" customHeight="1" x14ac:dyDescent="0.2">
      <c r="B21" s="58"/>
      <c r="C21" s="58"/>
      <c r="D21" s="58"/>
    </row>
    <row r="23" spans="2:4" ht="15" customHeight="1" x14ac:dyDescent="0.2">
      <c r="B23" s="4" t="s">
        <v>13</v>
      </c>
    </row>
    <row r="24" spans="2:4" ht="15" customHeight="1" x14ac:dyDescent="0.2">
      <c r="B24" s="5" t="s">
        <v>14</v>
      </c>
      <c r="C24" s="52" t="s">
        <v>124</v>
      </c>
    </row>
    <row r="25" spans="2:4" ht="15" customHeight="1" x14ac:dyDescent="0.2">
      <c r="B25" s="5" t="s">
        <v>15</v>
      </c>
      <c r="C25" s="3" t="s">
        <v>16</v>
      </c>
    </row>
    <row r="26" spans="2:4" ht="15" customHeight="1" x14ac:dyDescent="0.2">
      <c r="B26" s="5" t="s">
        <v>17</v>
      </c>
      <c r="C26" s="3" t="s">
        <v>18</v>
      </c>
    </row>
    <row r="27" spans="2:4" ht="15" customHeight="1" x14ac:dyDescent="0.2">
      <c r="B27" s="5" t="s">
        <v>19</v>
      </c>
      <c r="C27" s="3" t="s">
        <v>20</v>
      </c>
    </row>
    <row r="28" spans="2:4" ht="15" customHeight="1" x14ac:dyDescent="0.2">
      <c r="B28" s="5" t="s">
        <v>21</v>
      </c>
      <c r="C28" s="3" t="s">
        <v>22</v>
      </c>
    </row>
    <row r="29" spans="2:4" ht="15" customHeight="1" x14ac:dyDescent="0.2">
      <c r="B29" s="5" t="s">
        <v>23</v>
      </c>
      <c r="C29" s="3" t="s">
        <v>24</v>
      </c>
    </row>
    <row r="31" spans="2:4" ht="15" customHeight="1" x14ac:dyDescent="0.2">
      <c r="B31" s="4" t="s">
        <v>25</v>
      </c>
    </row>
    <row r="32" spans="2:4" ht="15" customHeight="1" x14ac:dyDescent="0.2">
      <c r="B32" s="6" t="s">
        <v>26</v>
      </c>
      <c r="C32" s="52" t="s">
        <v>125</v>
      </c>
    </row>
    <row r="33" spans="2:3" ht="15" customHeight="1" x14ac:dyDescent="0.2">
      <c r="B33" s="7" t="s">
        <v>26</v>
      </c>
      <c r="C33" s="52" t="s">
        <v>126</v>
      </c>
    </row>
    <row r="34" spans="2:3" ht="15" customHeight="1" x14ac:dyDescent="0.2">
      <c r="B34" s="8" t="s">
        <v>26</v>
      </c>
      <c r="C34" s="3" t="s">
        <v>27</v>
      </c>
    </row>
  </sheetData>
  <mergeCells count="3">
    <mergeCell ref="B3:D5"/>
    <mergeCell ref="B6:D7"/>
    <mergeCell ref="B19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5" sqref="B25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3" width="27.6640625" customWidth="1"/>
    <col min="4" max="4" width="32" customWidth="1"/>
  </cols>
  <sheetData>
    <row r="1" spans="1:5" ht="15" customHeight="1" x14ac:dyDescent="0.2">
      <c r="A1" s="59" t="s">
        <v>132</v>
      </c>
      <c r="B1" s="60"/>
      <c r="C1" s="60"/>
      <c r="D1" s="60"/>
      <c r="E1" s="60"/>
    </row>
    <row r="2" spans="1:5" ht="15" customHeight="1" x14ac:dyDescent="0.2">
      <c r="A2" s="61" t="s">
        <v>139</v>
      </c>
      <c r="B2" s="62"/>
      <c r="C2" s="62"/>
      <c r="D2" s="62"/>
      <c r="E2" s="62"/>
    </row>
    <row r="3" spans="1:5" ht="15" customHeight="1" x14ac:dyDescent="0.2">
      <c r="A3" s="9"/>
      <c r="B3" s="9"/>
      <c r="C3" s="9"/>
      <c r="D3" s="9"/>
      <c r="E3" s="9"/>
    </row>
    <row r="4" spans="1:5" ht="15" customHeight="1" x14ac:dyDescent="0.2">
      <c r="B4" s="63" t="s">
        <v>28</v>
      </c>
      <c r="C4" s="63"/>
      <c r="D4" s="63"/>
    </row>
    <row r="5" spans="1:5" ht="15" customHeight="1" x14ac:dyDescent="0.2">
      <c r="B5" s="10" t="s">
        <v>29</v>
      </c>
      <c r="C5" s="53" t="s">
        <v>133</v>
      </c>
    </row>
    <row r="6" spans="1:5" ht="15" customHeight="1" x14ac:dyDescent="0.2">
      <c r="B6" s="10" t="s">
        <v>30</v>
      </c>
      <c r="C6" s="12">
        <v>1000</v>
      </c>
    </row>
    <row r="7" spans="1:5" ht="15" customHeight="1" x14ac:dyDescent="0.2">
      <c r="B7" s="10" t="s">
        <v>31</v>
      </c>
      <c r="C7" s="13">
        <v>0.05</v>
      </c>
    </row>
    <row r="8" spans="1:5" ht="15" customHeight="1" x14ac:dyDescent="0.2">
      <c r="B8" s="10" t="s">
        <v>32</v>
      </c>
      <c r="C8" s="14">
        <v>10</v>
      </c>
    </row>
    <row r="9" spans="1:5" ht="15" customHeight="1" x14ac:dyDescent="0.2">
      <c r="B9" s="10" t="s">
        <v>33</v>
      </c>
      <c r="C9" s="15">
        <v>2</v>
      </c>
    </row>
    <row r="10" spans="1:5" ht="15" customHeight="1" x14ac:dyDescent="0.2">
      <c r="B10" s="10" t="s">
        <v>34</v>
      </c>
      <c r="C10" s="11" t="s">
        <v>35</v>
      </c>
    </row>
    <row r="11" spans="1:5" ht="15" customHeight="1" x14ac:dyDescent="0.2">
      <c r="B11" s="10" t="s">
        <v>36</v>
      </c>
      <c r="C11" s="11" t="s">
        <v>37</v>
      </c>
    </row>
    <row r="12" spans="1:5" ht="15" customHeight="1" x14ac:dyDescent="0.2">
      <c r="A12" s="9"/>
      <c r="B12" s="9"/>
      <c r="C12" s="9"/>
      <c r="D12" s="9"/>
      <c r="E12" s="9"/>
    </row>
    <row r="13" spans="1:5" ht="15" customHeight="1" x14ac:dyDescent="0.2">
      <c r="B13" s="63" t="s">
        <v>38</v>
      </c>
      <c r="C13" s="63"/>
      <c r="D13" s="63"/>
    </row>
    <row r="14" spans="1:5" ht="15" customHeight="1" x14ac:dyDescent="0.2">
      <c r="B14" s="10" t="s">
        <v>39</v>
      </c>
      <c r="C14" s="16">
        <v>0.06</v>
      </c>
    </row>
    <row r="15" spans="1:5" ht="15" customHeight="1" x14ac:dyDescent="0.2">
      <c r="B15" s="10" t="s">
        <v>40</v>
      </c>
      <c r="C15" s="12">
        <v>0</v>
      </c>
    </row>
    <row r="16" spans="1:5" ht="15" customHeight="1" x14ac:dyDescent="0.2">
      <c r="A16" s="9"/>
      <c r="B16" s="9"/>
      <c r="C16" s="9"/>
      <c r="D16" s="9"/>
      <c r="E16" s="9"/>
    </row>
    <row r="17" spans="2:4" ht="15" customHeight="1" x14ac:dyDescent="0.2">
      <c r="B17" s="63" t="s">
        <v>41</v>
      </c>
      <c r="C17" s="63"/>
      <c r="D17" s="63"/>
    </row>
    <row r="18" spans="2:4" ht="15" customHeight="1" x14ac:dyDescent="0.2">
      <c r="B18" s="17" t="s">
        <v>42</v>
      </c>
      <c r="C18" s="18" t="s">
        <v>43</v>
      </c>
    </row>
    <row r="19" spans="2:4" ht="15" customHeight="1" x14ac:dyDescent="0.2">
      <c r="B19" s="17" t="s">
        <v>44</v>
      </c>
      <c r="C19" s="18" t="s">
        <v>45</v>
      </c>
    </row>
    <row r="20" spans="2:4" ht="15" customHeight="1" x14ac:dyDescent="0.2">
      <c r="B20" s="17" t="s">
        <v>46</v>
      </c>
      <c r="C20" s="18" t="s">
        <v>47</v>
      </c>
    </row>
    <row r="21" spans="2:4" ht="15" customHeight="1" x14ac:dyDescent="0.2">
      <c r="B21" s="17" t="s">
        <v>48</v>
      </c>
      <c r="C21" s="18" t="s">
        <v>49</v>
      </c>
    </row>
    <row r="22" spans="2:4" ht="15" customHeight="1" x14ac:dyDescent="0.2">
      <c r="B22" s="17" t="s">
        <v>50</v>
      </c>
      <c r="C22" s="54" t="s">
        <v>51</v>
      </c>
    </row>
  </sheetData>
  <mergeCells count="5">
    <mergeCell ref="A1:E1"/>
    <mergeCell ref="A2:E2"/>
    <mergeCell ref="B4:D4"/>
    <mergeCell ref="B13:D13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E2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3" width="20" customWidth="1"/>
    <col min="4" max="4" width="34" customWidth="1"/>
  </cols>
  <sheetData>
    <row r="1" spans="1:5" ht="15" customHeight="1" x14ac:dyDescent="0.2">
      <c r="A1" s="59" t="s">
        <v>131</v>
      </c>
      <c r="B1" s="60"/>
      <c r="C1" s="60"/>
      <c r="D1" s="60"/>
      <c r="E1" s="60"/>
    </row>
    <row r="2" spans="1:5" ht="15" customHeight="1" x14ac:dyDescent="0.2">
      <c r="A2" s="61" t="s">
        <v>138</v>
      </c>
      <c r="B2" s="62"/>
      <c r="C2" s="62"/>
      <c r="D2" s="62"/>
      <c r="E2" s="62"/>
    </row>
    <row r="3" spans="1:5" ht="15" customHeight="1" x14ac:dyDescent="0.2">
      <c r="A3" s="9"/>
      <c r="B3" s="9"/>
      <c r="C3" s="9"/>
      <c r="D3" s="9"/>
      <c r="E3" s="9"/>
    </row>
    <row r="4" spans="1:5" ht="15" customHeight="1" x14ac:dyDescent="0.2">
      <c r="B4" s="63" t="s">
        <v>52</v>
      </c>
      <c r="C4" s="63"/>
      <c r="D4" s="63"/>
    </row>
    <row r="5" spans="1:5" ht="15" customHeight="1" x14ac:dyDescent="0.2">
      <c r="B5" s="10" t="s">
        <v>53</v>
      </c>
      <c r="C5" s="19">
        <f>Assumptions!C6</f>
        <v>1000</v>
      </c>
    </row>
    <row r="6" spans="1:5" ht="15" customHeight="1" x14ac:dyDescent="0.2">
      <c r="B6" s="10" t="s">
        <v>54</v>
      </c>
      <c r="C6" s="20">
        <f>Assumptions!C7</f>
        <v>0.05</v>
      </c>
    </row>
    <row r="7" spans="1:5" ht="15" customHeight="1" x14ac:dyDescent="0.2">
      <c r="B7" s="10" t="s">
        <v>32</v>
      </c>
      <c r="C7" s="21">
        <f>Assumptions!C8</f>
        <v>10</v>
      </c>
    </row>
    <row r="8" spans="1:5" ht="15" customHeight="1" x14ac:dyDescent="0.2">
      <c r="B8" s="10" t="s">
        <v>33</v>
      </c>
      <c r="C8" s="22">
        <f>Assumptions!C9</f>
        <v>2</v>
      </c>
    </row>
    <row r="9" spans="1:5" ht="15" customHeight="1" x14ac:dyDescent="0.2">
      <c r="B9" s="10" t="s">
        <v>55</v>
      </c>
      <c r="C9" s="23">
        <f>Assumptions!C14</f>
        <v>0.06</v>
      </c>
    </row>
    <row r="10" spans="1:5" ht="15" customHeight="1" x14ac:dyDescent="0.2">
      <c r="A10" s="9"/>
      <c r="B10" s="9"/>
      <c r="C10" s="9"/>
      <c r="D10" s="9"/>
      <c r="E10" s="9"/>
    </row>
    <row r="11" spans="1:5" ht="15" customHeight="1" x14ac:dyDescent="0.2">
      <c r="B11" s="63" t="s">
        <v>56</v>
      </c>
      <c r="C11" s="63"/>
      <c r="D11" s="63"/>
    </row>
    <row r="12" spans="1:5" ht="15" customHeight="1" x14ac:dyDescent="0.2">
      <c r="B12" s="18" t="s">
        <v>57</v>
      </c>
      <c r="C12" s="24">
        <f>ROUND(Assumptions!C8*Assumptions!C9,0)</f>
        <v>20</v>
      </c>
    </row>
    <row r="13" spans="1:5" ht="15" customHeight="1" x14ac:dyDescent="0.2">
      <c r="B13" s="18" t="s">
        <v>58</v>
      </c>
      <c r="C13" s="25">
        <f>Assumptions!C6*Assumptions!C7/Assumptions!C9</f>
        <v>25</v>
      </c>
    </row>
    <row r="14" spans="1:5" ht="15" customHeight="1" x14ac:dyDescent="0.2">
      <c r="B14" s="18" t="s">
        <v>59</v>
      </c>
      <c r="C14" s="26">
        <f>Assumptions!C14/Assumptions!C9</f>
        <v>0.03</v>
      </c>
    </row>
    <row r="15" spans="1:5" ht="15" customHeight="1" x14ac:dyDescent="0.2">
      <c r="A15" s="9"/>
      <c r="B15" s="9"/>
      <c r="C15" s="9"/>
      <c r="D15" s="9"/>
      <c r="E15" s="9"/>
    </row>
    <row r="16" spans="1:5" ht="15" customHeight="1" x14ac:dyDescent="0.2">
      <c r="B16" s="63" t="s">
        <v>60</v>
      </c>
      <c r="C16" s="63"/>
      <c r="D16" s="63"/>
    </row>
    <row r="17" spans="1:5" ht="15" customHeight="1" x14ac:dyDescent="0.2">
      <c r="B17" s="18" t="s">
        <v>61</v>
      </c>
      <c r="C17" s="25">
        <f>C13*(1-(1+C14)^(-C12))/C14</f>
        <v>371.93687151138749</v>
      </c>
    </row>
    <row r="18" spans="1:5" ht="15" customHeight="1" x14ac:dyDescent="0.2">
      <c r="B18" s="18" t="s">
        <v>62</v>
      </c>
      <c r="C18" s="25">
        <f>Assumptions!C6*(1+C14)^(-C12)</f>
        <v>553.67575418633498</v>
      </c>
    </row>
    <row r="19" spans="1:5" ht="15" customHeight="1" x14ac:dyDescent="0.2">
      <c r="B19" s="17" t="s">
        <v>63</v>
      </c>
      <c r="C19" s="27">
        <f>C17+C18</f>
        <v>925.61262569772248</v>
      </c>
    </row>
    <row r="20" spans="1:5" ht="15" customHeight="1" x14ac:dyDescent="0.2">
      <c r="A20" s="9"/>
      <c r="B20" s="9"/>
      <c r="C20" s="9"/>
      <c r="D20" s="9"/>
      <c r="E20" s="9"/>
    </row>
    <row r="21" spans="1:5" ht="15" customHeight="1" x14ac:dyDescent="0.2">
      <c r="B21" s="63" t="s">
        <v>64</v>
      </c>
      <c r="C21" s="63"/>
      <c r="D21" s="63"/>
    </row>
    <row r="22" spans="1:5" ht="15" customHeight="1" x14ac:dyDescent="0.2">
      <c r="B22" s="18" t="s">
        <v>65</v>
      </c>
      <c r="C22" s="28">
        <f>C19/Assumptions!C6</f>
        <v>0.92561262569772251</v>
      </c>
    </row>
    <row r="23" spans="1:5" ht="15" customHeight="1" x14ac:dyDescent="0.2">
      <c r="B23" s="18" t="s">
        <v>66</v>
      </c>
      <c r="C23" s="29">
        <f>C19-Assumptions!C6</f>
        <v>-74.387374302277522</v>
      </c>
    </row>
    <row r="24" spans="1:5" ht="15" customHeight="1" x14ac:dyDescent="0.2">
      <c r="B24" s="18" t="s">
        <v>67</v>
      </c>
      <c r="C24" s="30" t="str">
        <f>IF(C19&gt;Assumptions!C6,"PREMIUM",IF(C19&lt;Assumptions!C6,"DISCOUNT","PAR"))</f>
        <v>DISCOUNT</v>
      </c>
    </row>
    <row r="25" spans="1:5" ht="15" customHeight="1" x14ac:dyDescent="0.2">
      <c r="B25" s="18" t="s">
        <v>68</v>
      </c>
      <c r="C25" s="25">
        <f>Assumptions!C6*Assumptions!C7</f>
        <v>50</v>
      </c>
    </row>
    <row r="26" spans="1:5" ht="15" customHeight="1" x14ac:dyDescent="0.2">
      <c r="B26" s="18" t="s">
        <v>69</v>
      </c>
      <c r="C26" s="28">
        <f>Assumptions!C6*Assumptions!C7/C19</f>
        <v>5.401827785388108E-2</v>
      </c>
    </row>
    <row r="27" spans="1:5" ht="15" customHeight="1" x14ac:dyDescent="0.2">
      <c r="B27" s="18" t="s">
        <v>70</v>
      </c>
      <c r="C27" s="28">
        <f>(Assumptions!C6*Assumptions!C7+((Assumptions!C6-C19)/Assumptions!C8))/((C19+Assumptions!C6)/2)</f>
        <v>5.9657624450208953E-2</v>
      </c>
    </row>
  </sheetData>
  <mergeCells count="6">
    <mergeCell ref="B21:D21"/>
    <mergeCell ref="A1:E1"/>
    <mergeCell ref="A2:E2"/>
    <mergeCell ref="B4:D4"/>
    <mergeCell ref="B11:D11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4" sqref="K14"/>
    </sheetView>
  </sheetViews>
  <sheetFormatPr baseColWidth="10" defaultColWidth="8.6640625" defaultRowHeight="15" x14ac:dyDescent="0.2"/>
  <cols>
    <col min="1" max="1" width="2" customWidth="1"/>
    <col min="2" max="2" width="7" customWidth="1"/>
    <col min="3" max="3" width="12" customWidth="1"/>
    <col min="4" max="8" width="16" customWidth="1"/>
    <col min="9" max="9" width="18" customWidth="1"/>
  </cols>
  <sheetData>
    <row r="1" spans="1:9" ht="15" customHeight="1" x14ac:dyDescent="0.2">
      <c r="A1" s="59" t="s">
        <v>130</v>
      </c>
      <c r="B1" s="60"/>
      <c r="C1" s="60"/>
      <c r="D1" s="60"/>
      <c r="E1" s="60"/>
      <c r="F1" s="60"/>
      <c r="G1" s="60"/>
      <c r="H1" s="60"/>
      <c r="I1" s="60"/>
    </row>
    <row r="2" spans="1:9" ht="15" customHeight="1" x14ac:dyDescent="0.2">
      <c r="A2" s="61" t="s">
        <v>134</v>
      </c>
      <c r="B2" s="62"/>
      <c r="C2" s="62"/>
      <c r="D2" s="62"/>
      <c r="E2" s="62"/>
      <c r="F2" s="62"/>
      <c r="G2" s="62"/>
      <c r="H2" s="62"/>
      <c r="I2" s="62"/>
    </row>
    <row r="4" spans="1:9" ht="15" customHeight="1" x14ac:dyDescent="0.2">
      <c r="B4" s="31" t="s">
        <v>71</v>
      </c>
      <c r="C4" s="31" t="s">
        <v>72</v>
      </c>
      <c r="D4" s="31" t="s">
        <v>73</v>
      </c>
      <c r="E4" s="31" t="s">
        <v>74</v>
      </c>
      <c r="F4" s="31" t="s">
        <v>75</v>
      </c>
      <c r="G4" s="31" t="s">
        <v>76</v>
      </c>
      <c r="H4" s="31" t="s">
        <v>77</v>
      </c>
      <c r="I4" s="31" t="s">
        <v>78</v>
      </c>
    </row>
    <row r="5" spans="1:9" ht="15" customHeight="1" x14ac:dyDescent="0.2">
      <c r="B5" s="32">
        <f>IF(1&lt;=ROUND(Assumptions!C8*Assumptions!C9,0),1,"")</f>
        <v>1</v>
      </c>
      <c r="C5" s="33">
        <f>IF(1&lt;=ROUND(Assumptions!C8*Assumptions!C9,0),1/Assumptions!C9,"")</f>
        <v>0.5</v>
      </c>
      <c r="D5" s="34">
        <f>IF(1&lt;=ROUND(Assumptions!C8*Assumptions!C9,0),Assumptions!C6*Assumptions!C7/Assumptions!C9,"")</f>
        <v>25</v>
      </c>
      <c r="E5" s="34">
        <f>IF(1=ROUND(Assumptions!C8*Assumptions!C9,0),Assumptions!C6,IF(1&lt;ROUND(Assumptions!C8*Assumptions!C9,0),0,""))</f>
        <v>0</v>
      </c>
      <c r="F5" s="34">
        <f>IF(1&lt;=ROUND(Assumptions!C8*Assumptions!C9,0),D5+E5,"")</f>
        <v>25</v>
      </c>
      <c r="G5" s="35">
        <f>IF(1&lt;=ROUND(Assumptions!C8*Assumptions!C9,0),(1+Assumptions!C14/Assumptions!C9)^(-1),"")</f>
        <v>0.970873786407767</v>
      </c>
      <c r="H5" s="34">
        <f>IF(1&lt;=ROUND(Assumptions!C8*Assumptions!C9,0),F5*G5,"")</f>
        <v>24.271844660194176</v>
      </c>
      <c r="I5" s="34">
        <f>IF(1&lt;=ROUND(Assumptions!C8*Assumptions!C9,0),IF(1=1,H5,I4+H5),"")</f>
        <v>24.271844660194176</v>
      </c>
    </row>
    <row r="6" spans="1:9" ht="15" customHeight="1" x14ac:dyDescent="0.2">
      <c r="B6" s="32">
        <f>IF(2&lt;=ROUND(Assumptions!C8*Assumptions!C9,0),2,"")</f>
        <v>2</v>
      </c>
      <c r="C6" s="33">
        <f>IF(2&lt;=ROUND(Assumptions!C8*Assumptions!C9,0),2/Assumptions!C9,"")</f>
        <v>1</v>
      </c>
      <c r="D6" s="34">
        <f>IF(2&lt;=ROUND(Assumptions!C8*Assumptions!C9,0),Assumptions!C6*Assumptions!C7/Assumptions!C9,"")</f>
        <v>25</v>
      </c>
      <c r="E6" s="34">
        <f>IF(2=ROUND(Assumptions!C8*Assumptions!C9,0),Assumptions!C6,IF(2&lt;ROUND(Assumptions!C8*Assumptions!C9,0),0,""))</f>
        <v>0</v>
      </c>
      <c r="F6" s="34">
        <f>IF(2&lt;=ROUND(Assumptions!C8*Assumptions!C9,0),D6+E6,"")</f>
        <v>25</v>
      </c>
      <c r="G6" s="35">
        <f>IF(2&lt;=ROUND(Assumptions!C8*Assumptions!C9,0),(1+Assumptions!C14/Assumptions!C9)^(-2),"")</f>
        <v>0.94259590913375435</v>
      </c>
      <c r="H6" s="34">
        <f>IF(2&lt;=ROUND(Assumptions!C8*Assumptions!C9,0),F6*G6,"")</f>
        <v>23.564897728343858</v>
      </c>
      <c r="I6" s="34">
        <f>IF(2&lt;=ROUND(Assumptions!C8*Assumptions!C9,0),IF(2=1,H6,I5+H6),"")</f>
        <v>47.836742388538035</v>
      </c>
    </row>
    <row r="7" spans="1:9" ht="15" customHeight="1" x14ac:dyDescent="0.2">
      <c r="B7" s="32">
        <f>IF(3&lt;=ROUND(Assumptions!C8*Assumptions!C9,0),3,"")</f>
        <v>3</v>
      </c>
      <c r="C7" s="33">
        <f>IF(3&lt;=ROUND(Assumptions!C8*Assumptions!C9,0),3/Assumptions!C9,"")</f>
        <v>1.5</v>
      </c>
      <c r="D7" s="34">
        <f>IF(3&lt;=ROUND(Assumptions!C8*Assumptions!C9,0),Assumptions!C6*Assumptions!C7/Assumptions!C9,"")</f>
        <v>25</v>
      </c>
      <c r="E7" s="34">
        <f>IF(3=ROUND(Assumptions!C8*Assumptions!C9,0),Assumptions!C6,IF(3&lt;ROUND(Assumptions!C8*Assumptions!C9,0),0,""))</f>
        <v>0</v>
      </c>
      <c r="F7" s="34">
        <f>IF(3&lt;=ROUND(Assumptions!C8*Assumptions!C9,0),D7+E7,"")</f>
        <v>25</v>
      </c>
      <c r="G7" s="35">
        <f>IF(3&lt;=ROUND(Assumptions!C8*Assumptions!C9,0),(1+Assumptions!C14/Assumptions!C9)^(-3),"")</f>
        <v>0.91514165935315961</v>
      </c>
      <c r="H7" s="34">
        <f>IF(3&lt;=ROUND(Assumptions!C8*Assumptions!C9,0),F7*G7,"")</f>
        <v>22.87854148382899</v>
      </c>
      <c r="I7" s="34">
        <f>IF(3&lt;=ROUND(Assumptions!C8*Assumptions!C9,0),IF(3=1,H7,I6+H7),"")</f>
        <v>70.715283872367024</v>
      </c>
    </row>
    <row r="8" spans="1:9" ht="15" customHeight="1" x14ac:dyDescent="0.2">
      <c r="B8" s="32">
        <f>IF(4&lt;=ROUND(Assumptions!C8*Assumptions!C9,0),4,"")</f>
        <v>4</v>
      </c>
      <c r="C8" s="33">
        <f>IF(4&lt;=ROUND(Assumptions!C8*Assumptions!C9,0),4/Assumptions!C9,"")</f>
        <v>2</v>
      </c>
      <c r="D8" s="34">
        <f>IF(4&lt;=ROUND(Assumptions!C8*Assumptions!C9,0),Assumptions!C6*Assumptions!C7/Assumptions!C9,"")</f>
        <v>25</v>
      </c>
      <c r="E8" s="34">
        <f>IF(4=ROUND(Assumptions!C8*Assumptions!C9,0),Assumptions!C6,IF(4&lt;ROUND(Assumptions!C8*Assumptions!C9,0),0,""))</f>
        <v>0</v>
      </c>
      <c r="F8" s="34">
        <f>IF(4&lt;=ROUND(Assumptions!C8*Assumptions!C9,0),D8+E8,"")</f>
        <v>25</v>
      </c>
      <c r="G8" s="35">
        <f>IF(4&lt;=ROUND(Assumptions!C8*Assumptions!C9,0),(1+Assumptions!C14/Assumptions!C9)^(-4),"")</f>
        <v>0.888487047915689</v>
      </c>
      <c r="H8" s="34">
        <f>IF(4&lt;=ROUND(Assumptions!C8*Assumptions!C9,0),F8*G8,"")</f>
        <v>22.212176197892227</v>
      </c>
      <c r="I8" s="34">
        <f>IF(4&lt;=ROUND(Assumptions!C8*Assumptions!C9,0),IF(4=1,H8,I7+H8),"")</f>
        <v>92.927460070259258</v>
      </c>
    </row>
    <row r="9" spans="1:9" ht="15" customHeight="1" x14ac:dyDescent="0.2">
      <c r="B9" s="32">
        <f>IF(5&lt;=ROUND(Assumptions!C8*Assumptions!C9,0),5,"")</f>
        <v>5</v>
      </c>
      <c r="C9" s="33">
        <f>IF(5&lt;=ROUND(Assumptions!C8*Assumptions!C9,0),5/Assumptions!C9,"")</f>
        <v>2.5</v>
      </c>
      <c r="D9" s="34">
        <f>IF(5&lt;=ROUND(Assumptions!C8*Assumptions!C9,0),Assumptions!C6*Assumptions!C7/Assumptions!C9,"")</f>
        <v>25</v>
      </c>
      <c r="E9" s="34">
        <f>IF(5=ROUND(Assumptions!C8*Assumptions!C9,0),Assumptions!C6,IF(5&lt;ROUND(Assumptions!C8*Assumptions!C9,0),0,""))</f>
        <v>0</v>
      </c>
      <c r="F9" s="34">
        <f>IF(5&lt;=ROUND(Assumptions!C8*Assumptions!C9,0),D9+E9,"")</f>
        <v>25</v>
      </c>
      <c r="G9" s="35">
        <f>IF(5&lt;=ROUND(Assumptions!C8*Assumptions!C9,0),(1+Assumptions!C14/Assumptions!C9)^(-5),"")</f>
        <v>0.86260878438416411</v>
      </c>
      <c r="H9" s="34">
        <f>IF(5&lt;=ROUND(Assumptions!C8*Assumptions!C9,0),F9*G9,"")</f>
        <v>21.565219609604103</v>
      </c>
      <c r="I9" s="34">
        <f>IF(5&lt;=ROUND(Assumptions!C8*Assumptions!C9,0),IF(5=1,H9,I8+H9),"")</f>
        <v>114.49267967986336</v>
      </c>
    </row>
    <row r="10" spans="1:9" ht="15" customHeight="1" x14ac:dyDescent="0.2">
      <c r="B10" s="32">
        <f>IF(6&lt;=ROUND(Assumptions!C8*Assumptions!C9,0),6,"")</f>
        <v>6</v>
      </c>
      <c r="C10" s="33">
        <f>IF(6&lt;=ROUND(Assumptions!C8*Assumptions!C9,0),6/Assumptions!C9,"")</f>
        <v>3</v>
      </c>
      <c r="D10" s="34">
        <f>IF(6&lt;=ROUND(Assumptions!C8*Assumptions!C9,0),Assumptions!C6*Assumptions!C7/Assumptions!C9,"")</f>
        <v>25</v>
      </c>
      <c r="E10" s="34">
        <f>IF(6=ROUND(Assumptions!C8*Assumptions!C9,0),Assumptions!C6,IF(6&lt;ROUND(Assumptions!C8*Assumptions!C9,0),0,""))</f>
        <v>0</v>
      </c>
      <c r="F10" s="34">
        <f>IF(6&lt;=ROUND(Assumptions!C8*Assumptions!C9,0),D10+E10,"")</f>
        <v>25</v>
      </c>
      <c r="G10" s="35">
        <f>IF(6&lt;=ROUND(Assumptions!C8*Assumptions!C9,0),(1+Assumptions!C14/Assumptions!C9)^(-6),"")</f>
        <v>0.83748425668365445</v>
      </c>
      <c r="H10" s="34">
        <f>IF(6&lt;=ROUND(Assumptions!C8*Assumptions!C9,0),F10*G10,"")</f>
        <v>20.937106417091361</v>
      </c>
      <c r="I10" s="34">
        <f>IF(6&lt;=ROUND(Assumptions!C8*Assumptions!C9,0),IF(6=1,H10,I9+H10),"")</f>
        <v>135.42978609695473</v>
      </c>
    </row>
    <row r="11" spans="1:9" ht="15" customHeight="1" x14ac:dyDescent="0.2">
      <c r="B11" s="32">
        <f>IF(7&lt;=ROUND(Assumptions!C8*Assumptions!C9,0),7,"")</f>
        <v>7</v>
      </c>
      <c r="C11" s="33">
        <f>IF(7&lt;=ROUND(Assumptions!C8*Assumptions!C9,0),7/Assumptions!C9,"")</f>
        <v>3.5</v>
      </c>
      <c r="D11" s="34">
        <f>IF(7&lt;=ROUND(Assumptions!C8*Assumptions!C9,0),Assumptions!C6*Assumptions!C7/Assumptions!C9,"")</f>
        <v>25</v>
      </c>
      <c r="E11" s="34">
        <f>IF(7=ROUND(Assumptions!C8*Assumptions!C9,0),Assumptions!C6,IF(7&lt;ROUND(Assumptions!C8*Assumptions!C9,0),0,""))</f>
        <v>0</v>
      </c>
      <c r="F11" s="34">
        <f>IF(7&lt;=ROUND(Assumptions!C8*Assumptions!C9,0),D11+E11,"")</f>
        <v>25</v>
      </c>
      <c r="G11" s="35">
        <f>IF(7&lt;=ROUND(Assumptions!C8*Assumptions!C9,0),(1+Assumptions!C14/Assumptions!C9)^(-7),"")</f>
        <v>0.81309151134335378</v>
      </c>
      <c r="H11" s="34">
        <f>IF(7&lt;=ROUND(Assumptions!C8*Assumptions!C9,0),F11*G11,"")</f>
        <v>20.327287783583845</v>
      </c>
      <c r="I11" s="34">
        <f>IF(7&lt;=ROUND(Assumptions!C8*Assumptions!C9,0),IF(7=1,H11,I10+H11),"")</f>
        <v>155.75707388053857</v>
      </c>
    </row>
    <row r="12" spans="1:9" ht="15" customHeight="1" x14ac:dyDescent="0.2">
      <c r="B12" s="32">
        <f>IF(8&lt;=ROUND(Assumptions!C8*Assumptions!C9,0),8,"")</f>
        <v>8</v>
      </c>
      <c r="C12" s="33">
        <f>IF(8&lt;=ROUND(Assumptions!C8*Assumptions!C9,0),8/Assumptions!C9,"")</f>
        <v>4</v>
      </c>
      <c r="D12" s="34">
        <f>IF(8&lt;=ROUND(Assumptions!C8*Assumptions!C9,0),Assumptions!C6*Assumptions!C7/Assumptions!C9,"")</f>
        <v>25</v>
      </c>
      <c r="E12" s="34">
        <f>IF(8=ROUND(Assumptions!C8*Assumptions!C9,0),Assumptions!C6,IF(8&lt;ROUND(Assumptions!C8*Assumptions!C9,0),0,""))</f>
        <v>0</v>
      </c>
      <c r="F12" s="34">
        <f>IF(8&lt;=ROUND(Assumptions!C8*Assumptions!C9,0),D12+E12,"")</f>
        <v>25</v>
      </c>
      <c r="G12" s="35">
        <f>IF(8&lt;=ROUND(Assumptions!C8*Assumptions!C9,0),(1+Assumptions!C14/Assumptions!C9)^(-8),"")</f>
        <v>0.78940923431393573</v>
      </c>
      <c r="H12" s="34">
        <f>IF(8&lt;=ROUND(Assumptions!C8*Assumptions!C9,0),F12*G12,"")</f>
        <v>19.735230857848393</v>
      </c>
      <c r="I12" s="34">
        <f>IF(8&lt;=ROUND(Assumptions!C8*Assumptions!C9,0),IF(8=1,H12,I11+H12),"")</f>
        <v>175.49230473838696</v>
      </c>
    </row>
    <row r="13" spans="1:9" ht="15" customHeight="1" x14ac:dyDescent="0.2">
      <c r="B13" s="32">
        <f>IF(9&lt;=ROUND(Assumptions!C8*Assumptions!C9,0),9,"")</f>
        <v>9</v>
      </c>
      <c r="C13" s="33">
        <f>IF(9&lt;=ROUND(Assumptions!C8*Assumptions!C9,0),9/Assumptions!C9,"")</f>
        <v>4.5</v>
      </c>
      <c r="D13" s="34">
        <f>IF(9&lt;=ROUND(Assumptions!C8*Assumptions!C9,0),Assumptions!C6*Assumptions!C7/Assumptions!C9,"")</f>
        <v>25</v>
      </c>
      <c r="E13" s="34">
        <f>IF(9=ROUND(Assumptions!C8*Assumptions!C9,0),Assumptions!C6,IF(9&lt;ROUND(Assumptions!C8*Assumptions!C9,0),0,""))</f>
        <v>0</v>
      </c>
      <c r="F13" s="34">
        <f>IF(9&lt;=ROUND(Assumptions!C8*Assumptions!C9,0),D13+E13,"")</f>
        <v>25</v>
      </c>
      <c r="G13" s="35">
        <f>IF(9&lt;=ROUND(Assumptions!C8*Assumptions!C9,0),(1+Assumptions!C14/Assumptions!C9)^(-9),"")</f>
        <v>0.76641673234362695</v>
      </c>
      <c r="H13" s="34">
        <f>IF(9&lt;=ROUND(Assumptions!C8*Assumptions!C9,0),F13*G13,"")</f>
        <v>19.160418308590675</v>
      </c>
      <c r="I13" s="34">
        <f>IF(9&lt;=ROUND(Assumptions!C8*Assumptions!C9,0),IF(9=1,H13,I12+H13),"")</f>
        <v>194.65272304697763</v>
      </c>
    </row>
    <row r="14" spans="1:9" ht="15" customHeight="1" x14ac:dyDescent="0.2">
      <c r="B14" s="32">
        <f>IF(10&lt;=ROUND(Assumptions!C8*Assumptions!C9,0),10,"")</f>
        <v>10</v>
      </c>
      <c r="C14" s="33">
        <f>IF(10&lt;=ROUND(Assumptions!C8*Assumptions!C9,0),10/Assumptions!C9,"")</f>
        <v>5</v>
      </c>
      <c r="D14" s="34">
        <f>IF(10&lt;=ROUND(Assumptions!C8*Assumptions!C9,0),Assumptions!C6*Assumptions!C7/Assumptions!C9,"")</f>
        <v>25</v>
      </c>
      <c r="E14" s="34">
        <f>IF(10=ROUND(Assumptions!C8*Assumptions!C9,0),Assumptions!C6,IF(10&lt;ROUND(Assumptions!C8*Assumptions!C9,0),0,""))</f>
        <v>0</v>
      </c>
      <c r="F14" s="34">
        <f>IF(10&lt;=ROUND(Assumptions!C8*Assumptions!C9,0),D14+E14,"")</f>
        <v>25</v>
      </c>
      <c r="G14" s="35">
        <f>IF(10&lt;=ROUND(Assumptions!C8*Assumptions!C9,0),(1+Assumptions!C14/Assumptions!C9)^(-10),"")</f>
        <v>0.74409391489672516</v>
      </c>
      <c r="H14" s="34">
        <f>IF(10&lt;=ROUND(Assumptions!C8*Assumptions!C9,0),F14*G14,"")</f>
        <v>18.602347872418129</v>
      </c>
      <c r="I14" s="34">
        <f>IF(10&lt;=ROUND(Assumptions!C8*Assumptions!C9,0),IF(10=1,H14,I13+H14),"")</f>
        <v>213.25507091939576</v>
      </c>
    </row>
    <row r="15" spans="1:9" ht="15" customHeight="1" x14ac:dyDescent="0.2">
      <c r="B15" s="32">
        <f>IF(11&lt;=ROUND(Assumptions!C8*Assumptions!C9,0),11,"")</f>
        <v>11</v>
      </c>
      <c r="C15" s="33">
        <f>IF(11&lt;=ROUND(Assumptions!C8*Assumptions!C9,0),11/Assumptions!C9,"")</f>
        <v>5.5</v>
      </c>
      <c r="D15" s="34">
        <f>IF(11&lt;=ROUND(Assumptions!C8*Assumptions!C9,0),Assumptions!C6*Assumptions!C7/Assumptions!C9,"")</f>
        <v>25</v>
      </c>
      <c r="E15" s="34">
        <f>IF(11=ROUND(Assumptions!C8*Assumptions!C9,0),Assumptions!C6,IF(11&lt;ROUND(Assumptions!C8*Assumptions!C9,0),0,""))</f>
        <v>0</v>
      </c>
      <c r="F15" s="34">
        <f>IF(11&lt;=ROUND(Assumptions!C8*Assumptions!C9,0),D15+E15,"")</f>
        <v>25</v>
      </c>
      <c r="G15" s="35">
        <f>IF(11&lt;=ROUND(Assumptions!C8*Assumptions!C9,0),(1+Assumptions!C14/Assumptions!C9)^(-11),"")</f>
        <v>0.72242127659876232</v>
      </c>
      <c r="H15" s="34">
        <f>IF(11&lt;=ROUND(Assumptions!C8*Assumptions!C9,0),F15*G15,"")</f>
        <v>18.060531914969058</v>
      </c>
      <c r="I15" s="34">
        <f>IF(11&lt;=ROUND(Assumptions!C8*Assumptions!C9,0),IF(11=1,H15,I14+H15),"")</f>
        <v>231.31560283436482</v>
      </c>
    </row>
    <row r="16" spans="1:9" ht="15" customHeight="1" x14ac:dyDescent="0.2">
      <c r="B16" s="32">
        <f>IF(12&lt;=ROUND(Assumptions!C8*Assumptions!C9,0),12,"")</f>
        <v>12</v>
      </c>
      <c r="C16" s="33">
        <f>IF(12&lt;=ROUND(Assumptions!C8*Assumptions!C9,0),12/Assumptions!C9,"")</f>
        <v>6</v>
      </c>
      <c r="D16" s="34">
        <f>IF(12&lt;=ROUND(Assumptions!C8*Assumptions!C9,0),Assumptions!C6*Assumptions!C7/Assumptions!C9,"")</f>
        <v>25</v>
      </c>
      <c r="E16" s="34">
        <f>IF(12=ROUND(Assumptions!C8*Assumptions!C9,0),Assumptions!C6,IF(12&lt;ROUND(Assumptions!C8*Assumptions!C9,0),0,""))</f>
        <v>0</v>
      </c>
      <c r="F16" s="34">
        <f>IF(12&lt;=ROUND(Assumptions!C8*Assumptions!C9,0),D16+E16,"")</f>
        <v>25</v>
      </c>
      <c r="G16" s="35">
        <f>IF(12&lt;=ROUND(Assumptions!C8*Assumptions!C9,0),(1+Assumptions!C14/Assumptions!C9)^(-12),"")</f>
        <v>0.70137988019297326</v>
      </c>
      <c r="H16" s="34">
        <f>IF(12&lt;=ROUND(Assumptions!C8*Assumptions!C9,0),F16*G16,"")</f>
        <v>17.534497004824331</v>
      </c>
      <c r="I16" s="34">
        <f>IF(12&lt;=ROUND(Assumptions!C8*Assumptions!C9,0),IF(12=1,H16,I15+H16),"")</f>
        <v>248.85009983918917</v>
      </c>
    </row>
    <row r="17" spans="2:9" ht="15" customHeight="1" x14ac:dyDescent="0.2">
      <c r="B17" s="32">
        <f>IF(13&lt;=ROUND(Assumptions!C8*Assumptions!C9,0),13,"")</f>
        <v>13</v>
      </c>
      <c r="C17" s="33">
        <f>IF(13&lt;=ROUND(Assumptions!C8*Assumptions!C9,0),13/Assumptions!C9,"")</f>
        <v>6.5</v>
      </c>
      <c r="D17" s="34">
        <f>IF(13&lt;=ROUND(Assumptions!C8*Assumptions!C9,0),Assumptions!C6*Assumptions!C7/Assumptions!C9,"")</f>
        <v>25</v>
      </c>
      <c r="E17" s="34">
        <f>IF(13=ROUND(Assumptions!C8*Assumptions!C9,0),Assumptions!C6,IF(13&lt;ROUND(Assumptions!C8*Assumptions!C9,0),0,""))</f>
        <v>0</v>
      </c>
      <c r="F17" s="34">
        <f>IF(13&lt;=ROUND(Assumptions!C8*Assumptions!C9,0),D17+E17,"")</f>
        <v>25</v>
      </c>
      <c r="G17" s="35">
        <f>IF(13&lt;=ROUND(Assumptions!C8*Assumptions!C9,0),(1+Assumptions!C14/Assumptions!C9)^(-13),"")</f>
        <v>0.68095133999317792</v>
      </c>
      <c r="H17" s="34">
        <f>IF(13&lt;=ROUND(Assumptions!C8*Assumptions!C9,0),F17*G17,"")</f>
        <v>17.023783499829449</v>
      </c>
      <c r="I17" s="34">
        <f>IF(13&lt;=ROUND(Assumptions!C8*Assumptions!C9,0),IF(13=1,H17,I16+H17),"")</f>
        <v>265.87388333901862</v>
      </c>
    </row>
    <row r="18" spans="2:9" ht="15" customHeight="1" x14ac:dyDescent="0.2">
      <c r="B18" s="32">
        <f>IF(14&lt;=ROUND(Assumptions!C8*Assumptions!C9,0),14,"")</f>
        <v>14</v>
      </c>
      <c r="C18" s="33">
        <f>IF(14&lt;=ROUND(Assumptions!C8*Assumptions!C9,0),14/Assumptions!C9,"")</f>
        <v>7</v>
      </c>
      <c r="D18" s="34">
        <f>IF(14&lt;=ROUND(Assumptions!C8*Assumptions!C9,0),Assumptions!C6*Assumptions!C7/Assumptions!C9,"")</f>
        <v>25</v>
      </c>
      <c r="E18" s="34">
        <f>IF(14=ROUND(Assumptions!C8*Assumptions!C9,0),Assumptions!C6,IF(14&lt;ROUND(Assumptions!C8*Assumptions!C9,0),0,""))</f>
        <v>0</v>
      </c>
      <c r="F18" s="34">
        <f>IF(14&lt;=ROUND(Assumptions!C8*Assumptions!C9,0),D18+E18,"")</f>
        <v>25</v>
      </c>
      <c r="G18" s="35">
        <f>IF(14&lt;=ROUND(Assumptions!C8*Assumptions!C9,0),(1+Assumptions!C14/Assumptions!C9)^(-14),"")</f>
        <v>0.66111780581861923</v>
      </c>
      <c r="H18" s="34">
        <f>IF(14&lt;=ROUND(Assumptions!C8*Assumptions!C9,0),F18*G18,"")</f>
        <v>16.52794514546548</v>
      </c>
      <c r="I18" s="34">
        <f>IF(14&lt;=ROUND(Assumptions!C8*Assumptions!C9,0),IF(14=1,H18,I17+H18),"")</f>
        <v>282.4018284844841</v>
      </c>
    </row>
    <row r="19" spans="2:9" ht="15" customHeight="1" x14ac:dyDescent="0.2">
      <c r="B19" s="32">
        <f>IF(15&lt;=ROUND(Assumptions!C8*Assumptions!C9,0),15,"")</f>
        <v>15</v>
      </c>
      <c r="C19" s="33">
        <f>IF(15&lt;=ROUND(Assumptions!C8*Assumptions!C9,0),15/Assumptions!C9,"")</f>
        <v>7.5</v>
      </c>
      <c r="D19" s="34">
        <f>IF(15&lt;=ROUND(Assumptions!C8*Assumptions!C9,0),Assumptions!C6*Assumptions!C7/Assumptions!C9,"")</f>
        <v>25</v>
      </c>
      <c r="E19" s="34">
        <f>IF(15=ROUND(Assumptions!C8*Assumptions!C9,0),Assumptions!C6,IF(15&lt;ROUND(Assumptions!C8*Assumptions!C9,0),0,""))</f>
        <v>0</v>
      </c>
      <c r="F19" s="34">
        <f>IF(15&lt;=ROUND(Assumptions!C8*Assumptions!C9,0),D19+E19,"")</f>
        <v>25</v>
      </c>
      <c r="G19" s="35">
        <f>IF(15&lt;=ROUND(Assumptions!C8*Assumptions!C9,0),(1+Assumptions!C14/Assumptions!C9)^(-15),"")</f>
        <v>0.64186194739671765</v>
      </c>
      <c r="H19" s="34">
        <f>IF(15&lt;=ROUND(Assumptions!C8*Assumptions!C9,0),F19*G19,"")</f>
        <v>16.046548684917941</v>
      </c>
      <c r="I19" s="34">
        <f>IF(15&lt;=ROUND(Assumptions!C8*Assumptions!C9,0),IF(15=1,H19,I18+H19),"")</f>
        <v>298.44837716940202</v>
      </c>
    </row>
    <row r="20" spans="2:9" ht="15" customHeight="1" x14ac:dyDescent="0.2">
      <c r="B20" s="32">
        <f>IF(16&lt;=ROUND(Assumptions!C8*Assumptions!C9,0),16,"")</f>
        <v>16</v>
      </c>
      <c r="C20" s="33">
        <f>IF(16&lt;=ROUND(Assumptions!C8*Assumptions!C9,0),16/Assumptions!C9,"")</f>
        <v>8</v>
      </c>
      <c r="D20" s="34">
        <f>IF(16&lt;=ROUND(Assumptions!C8*Assumptions!C9,0),Assumptions!C6*Assumptions!C7/Assumptions!C9,"")</f>
        <v>25</v>
      </c>
      <c r="E20" s="34">
        <f>IF(16=ROUND(Assumptions!C8*Assumptions!C9,0),Assumptions!C6,IF(16&lt;ROUND(Assumptions!C8*Assumptions!C9,0),0,""))</f>
        <v>0</v>
      </c>
      <c r="F20" s="34">
        <f>IF(16&lt;=ROUND(Assumptions!C8*Assumptions!C9,0),D20+E20,"")</f>
        <v>25</v>
      </c>
      <c r="G20" s="35">
        <f>IF(16&lt;=ROUND(Assumptions!C8*Assumptions!C9,0),(1+Assumptions!C14/Assumptions!C9)^(-16),"")</f>
        <v>0.62316693922011435</v>
      </c>
      <c r="H20" s="34">
        <f>IF(16&lt;=ROUND(Assumptions!C8*Assumptions!C9,0),F20*G20,"")</f>
        <v>15.579173480502858</v>
      </c>
      <c r="I20" s="34">
        <f>IF(16&lt;=ROUND(Assumptions!C8*Assumptions!C9,0),IF(16=1,H20,I19+H20),"")</f>
        <v>314.02755064990487</v>
      </c>
    </row>
    <row r="21" spans="2:9" ht="15" customHeight="1" x14ac:dyDescent="0.2">
      <c r="B21" s="32">
        <f>IF(17&lt;=ROUND(Assumptions!C8*Assumptions!C9,0),17,"")</f>
        <v>17</v>
      </c>
      <c r="C21" s="33">
        <f>IF(17&lt;=ROUND(Assumptions!C8*Assumptions!C9,0),17/Assumptions!C9,"")</f>
        <v>8.5</v>
      </c>
      <c r="D21" s="34">
        <f>IF(17&lt;=ROUND(Assumptions!C8*Assumptions!C9,0),Assumptions!C6*Assumptions!C7/Assumptions!C9,"")</f>
        <v>25</v>
      </c>
      <c r="E21" s="34">
        <f>IF(17=ROUND(Assumptions!C8*Assumptions!C9,0),Assumptions!C6,IF(17&lt;ROUND(Assumptions!C8*Assumptions!C9,0),0,""))</f>
        <v>0</v>
      </c>
      <c r="F21" s="34">
        <f>IF(17&lt;=ROUND(Assumptions!C8*Assumptions!C9,0),D21+E21,"")</f>
        <v>25</v>
      </c>
      <c r="G21" s="35">
        <f>IF(17&lt;=ROUND(Assumptions!C8*Assumptions!C9,0),(1+Assumptions!C14/Assumptions!C9)^(-17),"")</f>
        <v>0.60501644584477121</v>
      </c>
      <c r="H21" s="34">
        <f>IF(17&lt;=ROUND(Assumptions!C8*Assumptions!C9,0),F21*G21,"")</f>
        <v>15.12541114611928</v>
      </c>
      <c r="I21" s="34">
        <f>IF(17&lt;=ROUND(Assumptions!C8*Assumptions!C9,0),IF(17=1,H21,I20+H21),"")</f>
        <v>329.15296179602416</v>
      </c>
    </row>
    <row r="22" spans="2:9" ht="15" customHeight="1" x14ac:dyDescent="0.2">
      <c r="B22" s="32">
        <f>IF(18&lt;=ROUND(Assumptions!C8*Assumptions!C9,0),18,"")</f>
        <v>18</v>
      </c>
      <c r="C22" s="33">
        <f>IF(18&lt;=ROUND(Assumptions!C8*Assumptions!C9,0),18/Assumptions!C9,"")</f>
        <v>9</v>
      </c>
      <c r="D22" s="34">
        <f>IF(18&lt;=ROUND(Assumptions!C8*Assumptions!C9,0),Assumptions!C6*Assumptions!C7/Assumptions!C9,"")</f>
        <v>25</v>
      </c>
      <c r="E22" s="34">
        <f>IF(18=ROUND(Assumptions!C8*Assumptions!C9,0),Assumptions!C6,IF(18&lt;ROUND(Assumptions!C8*Assumptions!C9,0),0,""))</f>
        <v>0</v>
      </c>
      <c r="F22" s="34">
        <f>IF(18&lt;=ROUND(Assumptions!C8*Assumptions!C9,0),D22+E22,"")</f>
        <v>25</v>
      </c>
      <c r="G22" s="35">
        <f>IF(18&lt;=ROUND(Assumptions!C8*Assumptions!C9,0),(1+Assumptions!C14/Assumptions!C9)^(-18),"")</f>
        <v>0.5873946076162827</v>
      </c>
      <c r="H22" s="34">
        <f>IF(18&lt;=ROUND(Assumptions!C8*Assumptions!C9,0),F22*G22,"")</f>
        <v>14.684865190407068</v>
      </c>
      <c r="I22" s="34">
        <f>IF(18&lt;=ROUND(Assumptions!C8*Assumptions!C9,0),IF(18=1,H22,I21+H22),"")</f>
        <v>343.83782698643125</v>
      </c>
    </row>
    <row r="23" spans="2:9" ht="15" customHeight="1" x14ac:dyDescent="0.2">
      <c r="B23" s="32">
        <f>IF(19&lt;=ROUND(Assumptions!C8*Assumptions!C9,0),19,"")</f>
        <v>19</v>
      </c>
      <c r="C23" s="33">
        <f>IF(19&lt;=ROUND(Assumptions!C8*Assumptions!C9,0),19/Assumptions!C9,"")</f>
        <v>9.5</v>
      </c>
      <c r="D23" s="34">
        <f>IF(19&lt;=ROUND(Assumptions!C8*Assumptions!C9,0),Assumptions!C6*Assumptions!C7/Assumptions!C9,"")</f>
        <v>25</v>
      </c>
      <c r="E23" s="34">
        <f>IF(19=ROUND(Assumptions!C8*Assumptions!C9,0),Assumptions!C6,IF(19&lt;ROUND(Assumptions!C8*Assumptions!C9,0),0,""))</f>
        <v>0</v>
      </c>
      <c r="F23" s="34">
        <f>IF(19&lt;=ROUND(Assumptions!C8*Assumptions!C9,0),D23+E23,"")</f>
        <v>25</v>
      </c>
      <c r="G23" s="35">
        <f>IF(19&lt;=ROUND(Assumptions!C8*Assumptions!C9,0),(1+Assumptions!C14/Assumptions!C9)^(-19),"")</f>
        <v>0.57028602681192497</v>
      </c>
      <c r="H23" s="34">
        <f>IF(19&lt;=ROUND(Assumptions!C8*Assumptions!C9,0),F23*G23,"")</f>
        <v>14.257150670298124</v>
      </c>
      <c r="I23" s="34">
        <f>IF(19&lt;=ROUND(Assumptions!C8*Assumptions!C9,0),IF(19=1,H23,I22+H23),"")</f>
        <v>358.09497765672938</v>
      </c>
    </row>
    <row r="24" spans="2:9" ht="15" customHeight="1" x14ac:dyDescent="0.2">
      <c r="B24" s="32">
        <f>IF(20&lt;=ROUND(Assumptions!C8*Assumptions!C9,0),20,"")</f>
        <v>20</v>
      </c>
      <c r="C24" s="33">
        <f>IF(20&lt;=ROUND(Assumptions!C8*Assumptions!C9,0),20/Assumptions!C9,"")</f>
        <v>10</v>
      </c>
      <c r="D24" s="34">
        <f>IF(20&lt;=ROUND(Assumptions!C8*Assumptions!C9,0),Assumptions!C6*Assumptions!C7/Assumptions!C9,"")</f>
        <v>25</v>
      </c>
      <c r="E24" s="34">
        <f>IF(20=ROUND(Assumptions!C8*Assumptions!C9,0),Assumptions!C6,IF(20&lt;ROUND(Assumptions!C8*Assumptions!C9,0),0,""))</f>
        <v>1000</v>
      </c>
      <c r="F24" s="34">
        <f>IF(20&lt;=ROUND(Assumptions!C8*Assumptions!C9,0),D24+E24,"")</f>
        <v>1025</v>
      </c>
      <c r="G24" s="35">
        <f>IF(20&lt;=ROUND(Assumptions!C8*Assumptions!C9,0),(1+Assumptions!C14/Assumptions!C9)^(-20),"")</f>
        <v>0.55367575418633497</v>
      </c>
      <c r="H24" s="34">
        <f>IF(20&lt;=ROUND(Assumptions!C8*Assumptions!C9,0),F24*G24,"")</f>
        <v>567.51764804099332</v>
      </c>
      <c r="I24" s="34">
        <f>IF(20&lt;=ROUND(Assumptions!C8*Assumptions!C9,0),IF(20=1,H24,I23+H24),"")</f>
        <v>925.61262569772271</v>
      </c>
    </row>
    <row r="25" spans="2:9" ht="15" customHeight="1" x14ac:dyDescent="0.2">
      <c r="B25" s="32" t="str">
        <f>IF(21&lt;=ROUND(Assumptions!C8*Assumptions!C9,0),21,"")</f>
        <v/>
      </c>
      <c r="C25" s="33" t="str">
        <f>IF(21&lt;=ROUND(Assumptions!C8*Assumptions!C9,0),21/Assumptions!C9,"")</f>
        <v/>
      </c>
      <c r="D25" s="34" t="str">
        <f>IF(21&lt;=ROUND(Assumptions!C8*Assumptions!C9,0),Assumptions!C6*Assumptions!C7/Assumptions!C9,"")</f>
        <v/>
      </c>
      <c r="E25" s="34" t="str">
        <f>IF(21=ROUND(Assumptions!C8*Assumptions!C9,0),Assumptions!C6,IF(21&lt;ROUND(Assumptions!C8*Assumptions!C9,0),0,""))</f>
        <v/>
      </c>
      <c r="F25" s="34" t="str">
        <f>IF(21&lt;=ROUND(Assumptions!C8*Assumptions!C9,0),D25+E25,"")</f>
        <v/>
      </c>
      <c r="G25" s="35" t="str">
        <f>IF(21&lt;=ROUND(Assumptions!C8*Assumptions!C9,0),(1+Assumptions!C14/Assumptions!C9)^(-21),"")</f>
        <v/>
      </c>
      <c r="H25" s="34" t="str">
        <f>IF(21&lt;=ROUND(Assumptions!C8*Assumptions!C9,0),F25*G25,"")</f>
        <v/>
      </c>
      <c r="I25" s="34" t="str">
        <f>IF(21&lt;=ROUND(Assumptions!C8*Assumptions!C9,0),IF(21=1,H25,I24+H25),"")</f>
        <v/>
      </c>
    </row>
    <row r="26" spans="2:9" ht="15" customHeight="1" x14ac:dyDescent="0.2">
      <c r="B26" s="32" t="str">
        <f>IF(22&lt;=ROUND(Assumptions!C8*Assumptions!C9,0),22,"")</f>
        <v/>
      </c>
      <c r="C26" s="33" t="str">
        <f>IF(22&lt;=ROUND(Assumptions!C8*Assumptions!C9,0),22/Assumptions!C9,"")</f>
        <v/>
      </c>
      <c r="D26" s="34" t="str">
        <f>IF(22&lt;=ROUND(Assumptions!C8*Assumptions!C9,0),Assumptions!C6*Assumptions!C7/Assumptions!C9,"")</f>
        <v/>
      </c>
      <c r="E26" s="34" t="str">
        <f>IF(22=ROUND(Assumptions!C8*Assumptions!C9,0),Assumptions!C6,IF(22&lt;ROUND(Assumptions!C8*Assumptions!C9,0),0,""))</f>
        <v/>
      </c>
      <c r="F26" s="34" t="str">
        <f>IF(22&lt;=ROUND(Assumptions!C8*Assumptions!C9,0),D26+E26,"")</f>
        <v/>
      </c>
      <c r="G26" s="35" t="str">
        <f>IF(22&lt;=ROUND(Assumptions!C8*Assumptions!C9,0),(1+Assumptions!C14/Assumptions!C9)^(-22),"")</f>
        <v/>
      </c>
      <c r="H26" s="34" t="str">
        <f>IF(22&lt;=ROUND(Assumptions!C8*Assumptions!C9,0),F26*G26,"")</f>
        <v/>
      </c>
      <c r="I26" s="34" t="str">
        <f>IF(22&lt;=ROUND(Assumptions!C8*Assumptions!C9,0),IF(22=1,H26,I25+H26),"")</f>
        <v/>
      </c>
    </row>
    <row r="27" spans="2:9" ht="15" customHeight="1" x14ac:dyDescent="0.2">
      <c r="B27" s="32" t="str">
        <f>IF(23&lt;=ROUND(Assumptions!C8*Assumptions!C9,0),23,"")</f>
        <v/>
      </c>
      <c r="C27" s="33" t="str">
        <f>IF(23&lt;=ROUND(Assumptions!C8*Assumptions!C9,0),23/Assumptions!C9,"")</f>
        <v/>
      </c>
      <c r="D27" s="34" t="str">
        <f>IF(23&lt;=ROUND(Assumptions!C8*Assumptions!C9,0),Assumptions!C6*Assumptions!C7/Assumptions!C9,"")</f>
        <v/>
      </c>
      <c r="E27" s="34" t="str">
        <f>IF(23=ROUND(Assumptions!C8*Assumptions!C9,0),Assumptions!C6,IF(23&lt;ROUND(Assumptions!C8*Assumptions!C9,0),0,""))</f>
        <v/>
      </c>
      <c r="F27" s="34" t="str">
        <f>IF(23&lt;=ROUND(Assumptions!C8*Assumptions!C9,0),D27+E27,"")</f>
        <v/>
      </c>
      <c r="G27" s="35" t="str">
        <f>IF(23&lt;=ROUND(Assumptions!C8*Assumptions!C9,0),(1+Assumptions!C14/Assumptions!C9)^(-23),"")</f>
        <v/>
      </c>
      <c r="H27" s="34" t="str">
        <f>IF(23&lt;=ROUND(Assumptions!C8*Assumptions!C9,0),F27*G27,"")</f>
        <v/>
      </c>
      <c r="I27" s="34" t="str">
        <f>IF(23&lt;=ROUND(Assumptions!C8*Assumptions!C9,0),IF(23=1,H27,I26+H27),"")</f>
        <v/>
      </c>
    </row>
    <row r="28" spans="2:9" ht="15" customHeight="1" x14ac:dyDescent="0.2">
      <c r="B28" s="32" t="str">
        <f>IF(24&lt;=ROUND(Assumptions!C8*Assumptions!C9,0),24,"")</f>
        <v/>
      </c>
      <c r="C28" s="33" t="str">
        <f>IF(24&lt;=ROUND(Assumptions!C8*Assumptions!C9,0),24/Assumptions!C9,"")</f>
        <v/>
      </c>
      <c r="D28" s="34" t="str">
        <f>IF(24&lt;=ROUND(Assumptions!C8*Assumptions!C9,0),Assumptions!C6*Assumptions!C7/Assumptions!C9,"")</f>
        <v/>
      </c>
      <c r="E28" s="34" t="str">
        <f>IF(24=ROUND(Assumptions!C8*Assumptions!C9,0),Assumptions!C6,IF(24&lt;ROUND(Assumptions!C8*Assumptions!C9,0),0,""))</f>
        <v/>
      </c>
      <c r="F28" s="34" t="str">
        <f>IF(24&lt;=ROUND(Assumptions!C8*Assumptions!C9,0),D28+E28,"")</f>
        <v/>
      </c>
      <c r="G28" s="35" t="str">
        <f>IF(24&lt;=ROUND(Assumptions!C8*Assumptions!C9,0),(1+Assumptions!C14/Assumptions!C9)^(-24),"")</f>
        <v/>
      </c>
      <c r="H28" s="34" t="str">
        <f>IF(24&lt;=ROUND(Assumptions!C8*Assumptions!C9,0),F28*G28,"")</f>
        <v/>
      </c>
      <c r="I28" s="34" t="str">
        <f>IF(24&lt;=ROUND(Assumptions!C8*Assumptions!C9,0),IF(24=1,H28,I27+H28),"")</f>
        <v/>
      </c>
    </row>
    <row r="29" spans="2:9" ht="15" customHeight="1" x14ac:dyDescent="0.2">
      <c r="B29" s="32" t="str">
        <f>IF(25&lt;=ROUND(Assumptions!C8*Assumptions!C9,0),25,"")</f>
        <v/>
      </c>
      <c r="C29" s="33" t="str">
        <f>IF(25&lt;=ROUND(Assumptions!C8*Assumptions!C9,0),25/Assumptions!C9,"")</f>
        <v/>
      </c>
      <c r="D29" s="34" t="str">
        <f>IF(25&lt;=ROUND(Assumptions!C8*Assumptions!C9,0),Assumptions!C6*Assumptions!C7/Assumptions!C9,"")</f>
        <v/>
      </c>
      <c r="E29" s="34" t="str">
        <f>IF(25=ROUND(Assumptions!C8*Assumptions!C9,0),Assumptions!C6,IF(25&lt;ROUND(Assumptions!C8*Assumptions!C9,0),0,""))</f>
        <v/>
      </c>
      <c r="F29" s="34" t="str">
        <f>IF(25&lt;=ROUND(Assumptions!C8*Assumptions!C9,0),D29+E29,"")</f>
        <v/>
      </c>
      <c r="G29" s="35" t="str">
        <f>IF(25&lt;=ROUND(Assumptions!C8*Assumptions!C9,0),(1+Assumptions!C14/Assumptions!C9)^(-25),"")</f>
        <v/>
      </c>
      <c r="H29" s="34" t="str">
        <f>IF(25&lt;=ROUND(Assumptions!C8*Assumptions!C9,0),F29*G29,"")</f>
        <v/>
      </c>
      <c r="I29" s="34" t="str">
        <f>IF(25&lt;=ROUND(Assumptions!C8*Assumptions!C9,0),IF(25=1,H29,I28+H29),"")</f>
        <v/>
      </c>
    </row>
    <row r="30" spans="2:9" ht="15" customHeight="1" x14ac:dyDescent="0.2">
      <c r="B30" s="32" t="str">
        <f>IF(26&lt;=ROUND(Assumptions!C8*Assumptions!C9,0),26,"")</f>
        <v/>
      </c>
      <c r="C30" s="33" t="str">
        <f>IF(26&lt;=ROUND(Assumptions!C8*Assumptions!C9,0),26/Assumptions!C9,"")</f>
        <v/>
      </c>
      <c r="D30" s="34" t="str">
        <f>IF(26&lt;=ROUND(Assumptions!C8*Assumptions!C9,0),Assumptions!C6*Assumptions!C7/Assumptions!C9,"")</f>
        <v/>
      </c>
      <c r="E30" s="34" t="str">
        <f>IF(26=ROUND(Assumptions!C8*Assumptions!C9,0),Assumptions!C6,IF(26&lt;ROUND(Assumptions!C8*Assumptions!C9,0),0,""))</f>
        <v/>
      </c>
      <c r="F30" s="34" t="str">
        <f>IF(26&lt;=ROUND(Assumptions!C8*Assumptions!C9,0),D30+E30,"")</f>
        <v/>
      </c>
      <c r="G30" s="35" t="str">
        <f>IF(26&lt;=ROUND(Assumptions!C8*Assumptions!C9,0),(1+Assumptions!C14/Assumptions!C9)^(-26),"")</f>
        <v/>
      </c>
      <c r="H30" s="34" t="str">
        <f>IF(26&lt;=ROUND(Assumptions!C8*Assumptions!C9,0),F30*G30,"")</f>
        <v/>
      </c>
      <c r="I30" s="34" t="str">
        <f>IF(26&lt;=ROUND(Assumptions!C8*Assumptions!C9,0),IF(26=1,H30,I29+H30),"")</f>
        <v/>
      </c>
    </row>
    <row r="31" spans="2:9" ht="15" customHeight="1" x14ac:dyDescent="0.2">
      <c r="B31" s="32" t="str">
        <f>IF(27&lt;=ROUND(Assumptions!C8*Assumptions!C9,0),27,"")</f>
        <v/>
      </c>
      <c r="C31" s="33" t="str">
        <f>IF(27&lt;=ROUND(Assumptions!C8*Assumptions!C9,0),27/Assumptions!C9,"")</f>
        <v/>
      </c>
      <c r="D31" s="34" t="str">
        <f>IF(27&lt;=ROUND(Assumptions!C8*Assumptions!C9,0),Assumptions!C6*Assumptions!C7/Assumptions!C9,"")</f>
        <v/>
      </c>
      <c r="E31" s="34" t="str">
        <f>IF(27=ROUND(Assumptions!C8*Assumptions!C9,0),Assumptions!C6,IF(27&lt;ROUND(Assumptions!C8*Assumptions!C9,0),0,""))</f>
        <v/>
      </c>
      <c r="F31" s="34" t="str">
        <f>IF(27&lt;=ROUND(Assumptions!C8*Assumptions!C9,0),D31+E31,"")</f>
        <v/>
      </c>
      <c r="G31" s="35" t="str">
        <f>IF(27&lt;=ROUND(Assumptions!C8*Assumptions!C9,0),(1+Assumptions!C14/Assumptions!C9)^(-27),"")</f>
        <v/>
      </c>
      <c r="H31" s="34" t="str">
        <f>IF(27&lt;=ROUND(Assumptions!C8*Assumptions!C9,0),F31*G31,"")</f>
        <v/>
      </c>
      <c r="I31" s="34" t="str">
        <f>IF(27&lt;=ROUND(Assumptions!C8*Assumptions!C9,0),IF(27=1,H31,I30+H31),"")</f>
        <v/>
      </c>
    </row>
    <row r="32" spans="2:9" ht="15" customHeight="1" x14ac:dyDescent="0.2">
      <c r="B32" s="32" t="str">
        <f>IF(28&lt;=ROUND(Assumptions!C8*Assumptions!C9,0),28,"")</f>
        <v/>
      </c>
      <c r="C32" s="33" t="str">
        <f>IF(28&lt;=ROUND(Assumptions!C8*Assumptions!C9,0),28/Assumptions!C9,"")</f>
        <v/>
      </c>
      <c r="D32" s="34" t="str">
        <f>IF(28&lt;=ROUND(Assumptions!C8*Assumptions!C9,0),Assumptions!C6*Assumptions!C7/Assumptions!C9,"")</f>
        <v/>
      </c>
      <c r="E32" s="34" t="str">
        <f>IF(28=ROUND(Assumptions!C8*Assumptions!C9,0),Assumptions!C6,IF(28&lt;ROUND(Assumptions!C8*Assumptions!C9,0),0,""))</f>
        <v/>
      </c>
      <c r="F32" s="34" t="str">
        <f>IF(28&lt;=ROUND(Assumptions!C8*Assumptions!C9,0),D32+E32,"")</f>
        <v/>
      </c>
      <c r="G32" s="35" t="str">
        <f>IF(28&lt;=ROUND(Assumptions!C8*Assumptions!C9,0),(1+Assumptions!C14/Assumptions!C9)^(-28),"")</f>
        <v/>
      </c>
      <c r="H32" s="34" t="str">
        <f>IF(28&lt;=ROUND(Assumptions!C8*Assumptions!C9,0),F32*G32,"")</f>
        <v/>
      </c>
      <c r="I32" s="34" t="str">
        <f>IF(28&lt;=ROUND(Assumptions!C8*Assumptions!C9,0),IF(28=1,H32,I31+H32),"")</f>
        <v/>
      </c>
    </row>
    <row r="33" spans="2:9" ht="15" customHeight="1" x14ac:dyDescent="0.2">
      <c r="B33" s="32" t="str">
        <f>IF(29&lt;=ROUND(Assumptions!C8*Assumptions!C9,0),29,"")</f>
        <v/>
      </c>
      <c r="C33" s="33" t="str">
        <f>IF(29&lt;=ROUND(Assumptions!C8*Assumptions!C9,0),29/Assumptions!C9,"")</f>
        <v/>
      </c>
      <c r="D33" s="34" t="str">
        <f>IF(29&lt;=ROUND(Assumptions!C8*Assumptions!C9,0),Assumptions!C6*Assumptions!C7/Assumptions!C9,"")</f>
        <v/>
      </c>
      <c r="E33" s="34" t="str">
        <f>IF(29=ROUND(Assumptions!C8*Assumptions!C9,0),Assumptions!C6,IF(29&lt;ROUND(Assumptions!C8*Assumptions!C9,0),0,""))</f>
        <v/>
      </c>
      <c r="F33" s="34" t="str">
        <f>IF(29&lt;=ROUND(Assumptions!C8*Assumptions!C9,0),D33+E33,"")</f>
        <v/>
      </c>
      <c r="G33" s="35" t="str">
        <f>IF(29&lt;=ROUND(Assumptions!C8*Assumptions!C9,0),(1+Assumptions!C14/Assumptions!C9)^(-29),"")</f>
        <v/>
      </c>
      <c r="H33" s="34" t="str">
        <f>IF(29&lt;=ROUND(Assumptions!C8*Assumptions!C9,0),F33*G33,"")</f>
        <v/>
      </c>
      <c r="I33" s="34" t="str">
        <f>IF(29&lt;=ROUND(Assumptions!C8*Assumptions!C9,0),IF(29=1,H33,I32+H33),"")</f>
        <v/>
      </c>
    </row>
    <row r="34" spans="2:9" ht="15" customHeight="1" x14ac:dyDescent="0.2">
      <c r="B34" s="32" t="str">
        <f>IF(30&lt;=ROUND(Assumptions!C8*Assumptions!C9,0),30,"")</f>
        <v/>
      </c>
      <c r="C34" s="33" t="str">
        <f>IF(30&lt;=ROUND(Assumptions!C8*Assumptions!C9,0),30/Assumptions!C9,"")</f>
        <v/>
      </c>
      <c r="D34" s="34" t="str">
        <f>IF(30&lt;=ROUND(Assumptions!C8*Assumptions!C9,0),Assumptions!C6*Assumptions!C7/Assumptions!C9,"")</f>
        <v/>
      </c>
      <c r="E34" s="34" t="str">
        <f>IF(30=ROUND(Assumptions!C8*Assumptions!C9,0),Assumptions!C6,IF(30&lt;ROUND(Assumptions!C8*Assumptions!C9,0),0,""))</f>
        <v/>
      </c>
      <c r="F34" s="34" t="str">
        <f>IF(30&lt;=ROUND(Assumptions!C8*Assumptions!C9,0),D34+E34,"")</f>
        <v/>
      </c>
      <c r="G34" s="35" t="str">
        <f>IF(30&lt;=ROUND(Assumptions!C8*Assumptions!C9,0),(1+Assumptions!C14/Assumptions!C9)^(-30),"")</f>
        <v/>
      </c>
      <c r="H34" s="34" t="str">
        <f>IF(30&lt;=ROUND(Assumptions!C8*Assumptions!C9,0),F34*G34,"")</f>
        <v/>
      </c>
      <c r="I34" s="34" t="str">
        <f>IF(30&lt;=ROUND(Assumptions!C8*Assumptions!C9,0),IF(30=1,H34,I33+H34),"")</f>
        <v/>
      </c>
    </row>
    <row r="35" spans="2:9" ht="15" customHeight="1" x14ac:dyDescent="0.2">
      <c r="B35" s="32" t="str">
        <f>IF(31&lt;=ROUND(Assumptions!C8*Assumptions!C9,0),31,"")</f>
        <v/>
      </c>
      <c r="C35" s="33" t="str">
        <f>IF(31&lt;=ROUND(Assumptions!C8*Assumptions!C9,0),31/Assumptions!C9,"")</f>
        <v/>
      </c>
      <c r="D35" s="34" t="str">
        <f>IF(31&lt;=ROUND(Assumptions!C8*Assumptions!C9,0),Assumptions!C6*Assumptions!C7/Assumptions!C9,"")</f>
        <v/>
      </c>
      <c r="E35" s="34" t="str">
        <f>IF(31=ROUND(Assumptions!C8*Assumptions!C9,0),Assumptions!C6,IF(31&lt;ROUND(Assumptions!C8*Assumptions!C9,0),0,""))</f>
        <v/>
      </c>
      <c r="F35" s="34" t="str">
        <f>IF(31&lt;=ROUND(Assumptions!C8*Assumptions!C9,0),D35+E35,"")</f>
        <v/>
      </c>
      <c r="G35" s="35" t="str">
        <f>IF(31&lt;=ROUND(Assumptions!C8*Assumptions!C9,0),(1+Assumptions!C14/Assumptions!C9)^(-31),"")</f>
        <v/>
      </c>
      <c r="H35" s="34" t="str">
        <f>IF(31&lt;=ROUND(Assumptions!C8*Assumptions!C9,0),F35*G35,"")</f>
        <v/>
      </c>
      <c r="I35" s="34" t="str">
        <f>IF(31&lt;=ROUND(Assumptions!C8*Assumptions!C9,0),IF(31=1,H35,I34+H35),"")</f>
        <v/>
      </c>
    </row>
    <row r="36" spans="2:9" ht="15" customHeight="1" x14ac:dyDescent="0.2">
      <c r="B36" s="32" t="str">
        <f>IF(32&lt;=ROUND(Assumptions!C8*Assumptions!C9,0),32,"")</f>
        <v/>
      </c>
      <c r="C36" s="33" t="str">
        <f>IF(32&lt;=ROUND(Assumptions!C8*Assumptions!C9,0),32/Assumptions!C9,"")</f>
        <v/>
      </c>
      <c r="D36" s="34" t="str">
        <f>IF(32&lt;=ROUND(Assumptions!C8*Assumptions!C9,0),Assumptions!C6*Assumptions!C7/Assumptions!C9,"")</f>
        <v/>
      </c>
      <c r="E36" s="34" t="str">
        <f>IF(32=ROUND(Assumptions!C8*Assumptions!C9,0),Assumptions!C6,IF(32&lt;ROUND(Assumptions!C8*Assumptions!C9,0),0,""))</f>
        <v/>
      </c>
      <c r="F36" s="34" t="str">
        <f>IF(32&lt;=ROUND(Assumptions!C8*Assumptions!C9,0),D36+E36,"")</f>
        <v/>
      </c>
      <c r="G36" s="35" t="str">
        <f>IF(32&lt;=ROUND(Assumptions!C8*Assumptions!C9,0),(1+Assumptions!C14/Assumptions!C9)^(-32),"")</f>
        <v/>
      </c>
      <c r="H36" s="34" t="str">
        <f>IF(32&lt;=ROUND(Assumptions!C8*Assumptions!C9,0),F36*G36,"")</f>
        <v/>
      </c>
      <c r="I36" s="34" t="str">
        <f>IF(32&lt;=ROUND(Assumptions!C8*Assumptions!C9,0),IF(32=1,H36,I35+H36),"")</f>
        <v/>
      </c>
    </row>
    <row r="37" spans="2:9" ht="15" customHeight="1" x14ac:dyDescent="0.2">
      <c r="B37" s="32" t="str">
        <f>IF(33&lt;=ROUND(Assumptions!C8*Assumptions!C9,0),33,"")</f>
        <v/>
      </c>
      <c r="C37" s="33" t="str">
        <f>IF(33&lt;=ROUND(Assumptions!C8*Assumptions!C9,0),33/Assumptions!C9,"")</f>
        <v/>
      </c>
      <c r="D37" s="34" t="str">
        <f>IF(33&lt;=ROUND(Assumptions!C8*Assumptions!C9,0),Assumptions!C6*Assumptions!C7/Assumptions!C9,"")</f>
        <v/>
      </c>
      <c r="E37" s="34" t="str">
        <f>IF(33=ROUND(Assumptions!C8*Assumptions!C9,0),Assumptions!C6,IF(33&lt;ROUND(Assumptions!C8*Assumptions!C9,0),0,""))</f>
        <v/>
      </c>
      <c r="F37" s="34" t="str">
        <f>IF(33&lt;=ROUND(Assumptions!C8*Assumptions!C9,0),D37+E37,"")</f>
        <v/>
      </c>
      <c r="G37" s="35" t="str">
        <f>IF(33&lt;=ROUND(Assumptions!C8*Assumptions!C9,0),(1+Assumptions!C14/Assumptions!C9)^(-33),"")</f>
        <v/>
      </c>
      <c r="H37" s="34" t="str">
        <f>IF(33&lt;=ROUND(Assumptions!C8*Assumptions!C9,0),F37*G37,"")</f>
        <v/>
      </c>
      <c r="I37" s="34" t="str">
        <f>IF(33&lt;=ROUND(Assumptions!C8*Assumptions!C9,0),IF(33=1,H37,I36+H37),"")</f>
        <v/>
      </c>
    </row>
    <row r="38" spans="2:9" ht="15" customHeight="1" x14ac:dyDescent="0.2">
      <c r="B38" s="32" t="str">
        <f>IF(34&lt;=ROUND(Assumptions!C8*Assumptions!C9,0),34,"")</f>
        <v/>
      </c>
      <c r="C38" s="33" t="str">
        <f>IF(34&lt;=ROUND(Assumptions!C8*Assumptions!C9,0),34/Assumptions!C9,"")</f>
        <v/>
      </c>
      <c r="D38" s="34" t="str">
        <f>IF(34&lt;=ROUND(Assumptions!C8*Assumptions!C9,0),Assumptions!C6*Assumptions!C7/Assumptions!C9,"")</f>
        <v/>
      </c>
      <c r="E38" s="34" t="str">
        <f>IF(34=ROUND(Assumptions!C8*Assumptions!C9,0),Assumptions!C6,IF(34&lt;ROUND(Assumptions!C8*Assumptions!C9,0),0,""))</f>
        <v/>
      </c>
      <c r="F38" s="34" t="str">
        <f>IF(34&lt;=ROUND(Assumptions!C8*Assumptions!C9,0),D38+E38,"")</f>
        <v/>
      </c>
      <c r="G38" s="35" t="str">
        <f>IF(34&lt;=ROUND(Assumptions!C8*Assumptions!C9,0),(1+Assumptions!C14/Assumptions!C9)^(-34),"")</f>
        <v/>
      </c>
      <c r="H38" s="34" t="str">
        <f>IF(34&lt;=ROUND(Assumptions!C8*Assumptions!C9,0),F38*G38,"")</f>
        <v/>
      </c>
      <c r="I38" s="34" t="str">
        <f>IF(34&lt;=ROUND(Assumptions!C8*Assumptions!C9,0),IF(34=1,H38,I37+H38),"")</f>
        <v/>
      </c>
    </row>
    <row r="39" spans="2:9" ht="15" customHeight="1" x14ac:dyDescent="0.2">
      <c r="B39" s="32" t="str">
        <f>IF(35&lt;=ROUND(Assumptions!C8*Assumptions!C9,0),35,"")</f>
        <v/>
      </c>
      <c r="C39" s="33" t="str">
        <f>IF(35&lt;=ROUND(Assumptions!C8*Assumptions!C9,0),35/Assumptions!C9,"")</f>
        <v/>
      </c>
      <c r="D39" s="34" t="str">
        <f>IF(35&lt;=ROUND(Assumptions!C8*Assumptions!C9,0),Assumptions!C6*Assumptions!C7/Assumptions!C9,"")</f>
        <v/>
      </c>
      <c r="E39" s="34" t="str">
        <f>IF(35=ROUND(Assumptions!C8*Assumptions!C9,0),Assumptions!C6,IF(35&lt;ROUND(Assumptions!C8*Assumptions!C9,0),0,""))</f>
        <v/>
      </c>
      <c r="F39" s="34" t="str">
        <f>IF(35&lt;=ROUND(Assumptions!C8*Assumptions!C9,0),D39+E39,"")</f>
        <v/>
      </c>
      <c r="G39" s="35" t="str">
        <f>IF(35&lt;=ROUND(Assumptions!C8*Assumptions!C9,0),(1+Assumptions!C14/Assumptions!C9)^(-35),"")</f>
        <v/>
      </c>
      <c r="H39" s="34" t="str">
        <f>IF(35&lt;=ROUND(Assumptions!C8*Assumptions!C9,0),F39*G39,"")</f>
        <v/>
      </c>
      <c r="I39" s="34" t="str">
        <f>IF(35&lt;=ROUND(Assumptions!C8*Assumptions!C9,0),IF(35=1,H39,I38+H39),"")</f>
        <v/>
      </c>
    </row>
    <row r="40" spans="2:9" ht="15" customHeight="1" x14ac:dyDescent="0.2">
      <c r="B40" s="32" t="str">
        <f>IF(36&lt;=ROUND(Assumptions!C8*Assumptions!C9,0),36,"")</f>
        <v/>
      </c>
      <c r="C40" s="33" t="str">
        <f>IF(36&lt;=ROUND(Assumptions!C8*Assumptions!C9,0),36/Assumptions!C9,"")</f>
        <v/>
      </c>
      <c r="D40" s="34" t="str">
        <f>IF(36&lt;=ROUND(Assumptions!C8*Assumptions!C9,0),Assumptions!C6*Assumptions!C7/Assumptions!C9,"")</f>
        <v/>
      </c>
      <c r="E40" s="34" t="str">
        <f>IF(36=ROUND(Assumptions!C8*Assumptions!C9,0),Assumptions!C6,IF(36&lt;ROUND(Assumptions!C8*Assumptions!C9,0),0,""))</f>
        <v/>
      </c>
      <c r="F40" s="34" t="str">
        <f>IF(36&lt;=ROUND(Assumptions!C8*Assumptions!C9,0),D40+E40,"")</f>
        <v/>
      </c>
      <c r="G40" s="35" t="str">
        <f>IF(36&lt;=ROUND(Assumptions!C8*Assumptions!C9,0),(1+Assumptions!C14/Assumptions!C9)^(-36),"")</f>
        <v/>
      </c>
      <c r="H40" s="34" t="str">
        <f>IF(36&lt;=ROUND(Assumptions!C8*Assumptions!C9,0),F40*G40,"")</f>
        <v/>
      </c>
      <c r="I40" s="34" t="str">
        <f>IF(36&lt;=ROUND(Assumptions!C8*Assumptions!C9,0),IF(36=1,H40,I39+H40),"")</f>
        <v/>
      </c>
    </row>
    <row r="41" spans="2:9" ht="15" customHeight="1" x14ac:dyDescent="0.2">
      <c r="B41" s="32" t="str">
        <f>IF(37&lt;=ROUND(Assumptions!C8*Assumptions!C9,0),37,"")</f>
        <v/>
      </c>
      <c r="C41" s="33" t="str">
        <f>IF(37&lt;=ROUND(Assumptions!C8*Assumptions!C9,0),37/Assumptions!C9,"")</f>
        <v/>
      </c>
      <c r="D41" s="34" t="str">
        <f>IF(37&lt;=ROUND(Assumptions!C8*Assumptions!C9,0),Assumptions!C6*Assumptions!C7/Assumptions!C9,"")</f>
        <v/>
      </c>
      <c r="E41" s="34" t="str">
        <f>IF(37=ROUND(Assumptions!C8*Assumptions!C9,0),Assumptions!C6,IF(37&lt;ROUND(Assumptions!C8*Assumptions!C9,0),0,""))</f>
        <v/>
      </c>
      <c r="F41" s="34" t="str">
        <f>IF(37&lt;=ROUND(Assumptions!C8*Assumptions!C9,0),D41+E41,"")</f>
        <v/>
      </c>
      <c r="G41" s="35" t="str">
        <f>IF(37&lt;=ROUND(Assumptions!C8*Assumptions!C9,0),(1+Assumptions!C14/Assumptions!C9)^(-37),"")</f>
        <v/>
      </c>
      <c r="H41" s="34" t="str">
        <f>IF(37&lt;=ROUND(Assumptions!C8*Assumptions!C9,0),F41*G41,"")</f>
        <v/>
      </c>
      <c r="I41" s="34" t="str">
        <f>IF(37&lt;=ROUND(Assumptions!C8*Assumptions!C9,0),IF(37=1,H41,I40+H41),"")</f>
        <v/>
      </c>
    </row>
    <row r="42" spans="2:9" ht="15" customHeight="1" x14ac:dyDescent="0.2">
      <c r="B42" s="32" t="str">
        <f>IF(38&lt;=ROUND(Assumptions!C8*Assumptions!C9,0),38,"")</f>
        <v/>
      </c>
      <c r="C42" s="33" t="str">
        <f>IF(38&lt;=ROUND(Assumptions!C8*Assumptions!C9,0),38/Assumptions!C9,"")</f>
        <v/>
      </c>
      <c r="D42" s="34" t="str">
        <f>IF(38&lt;=ROUND(Assumptions!C8*Assumptions!C9,0),Assumptions!C6*Assumptions!C7/Assumptions!C9,"")</f>
        <v/>
      </c>
      <c r="E42" s="34" t="str">
        <f>IF(38=ROUND(Assumptions!C8*Assumptions!C9,0),Assumptions!C6,IF(38&lt;ROUND(Assumptions!C8*Assumptions!C9,0),0,""))</f>
        <v/>
      </c>
      <c r="F42" s="34" t="str">
        <f>IF(38&lt;=ROUND(Assumptions!C8*Assumptions!C9,0),D42+E42,"")</f>
        <v/>
      </c>
      <c r="G42" s="35" t="str">
        <f>IF(38&lt;=ROUND(Assumptions!C8*Assumptions!C9,0),(1+Assumptions!C14/Assumptions!C9)^(-38),"")</f>
        <v/>
      </c>
      <c r="H42" s="34" t="str">
        <f>IF(38&lt;=ROUND(Assumptions!C8*Assumptions!C9,0),F42*G42,"")</f>
        <v/>
      </c>
      <c r="I42" s="34" t="str">
        <f>IF(38&lt;=ROUND(Assumptions!C8*Assumptions!C9,0),IF(38=1,H42,I41+H42),"")</f>
        <v/>
      </c>
    </row>
    <row r="43" spans="2:9" ht="15" customHeight="1" x14ac:dyDescent="0.2">
      <c r="B43" s="32" t="str">
        <f>IF(39&lt;=ROUND(Assumptions!C8*Assumptions!C9,0),39,"")</f>
        <v/>
      </c>
      <c r="C43" s="33" t="str">
        <f>IF(39&lt;=ROUND(Assumptions!C8*Assumptions!C9,0),39/Assumptions!C9,"")</f>
        <v/>
      </c>
      <c r="D43" s="34" t="str">
        <f>IF(39&lt;=ROUND(Assumptions!C8*Assumptions!C9,0),Assumptions!C6*Assumptions!C7/Assumptions!C9,"")</f>
        <v/>
      </c>
      <c r="E43" s="34" t="str">
        <f>IF(39=ROUND(Assumptions!C8*Assumptions!C9,0),Assumptions!C6,IF(39&lt;ROUND(Assumptions!C8*Assumptions!C9,0),0,""))</f>
        <v/>
      </c>
      <c r="F43" s="34" t="str">
        <f>IF(39&lt;=ROUND(Assumptions!C8*Assumptions!C9,0),D43+E43,"")</f>
        <v/>
      </c>
      <c r="G43" s="35" t="str">
        <f>IF(39&lt;=ROUND(Assumptions!C8*Assumptions!C9,0),(1+Assumptions!C14/Assumptions!C9)^(-39),"")</f>
        <v/>
      </c>
      <c r="H43" s="34" t="str">
        <f>IF(39&lt;=ROUND(Assumptions!C8*Assumptions!C9,0),F43*G43,"")</f>
        <v/>
      </c>
      <c r="I43" s="34" t="str">
        <f>IF(39&lt;=ROUND(Assumptions!C8*Assumptions!C9,0),IF(39=1,H43,I42+H43),"")</f>
        <v/>
      </c>
    </row>
    <row r="44" spans="2:9" ht="15" customHeight="1" x14ac:dyDescent="0.2">
      <c r="B44" s="32" t="str">
        <f>IF(40&lt;=ROUND(Assumptions!C8*Assumptions!C9,0),40,"")</f>
        <v/>
      </c>
      <c r="C44" s="33" t="str">
        <f>IF(40&lt;=ROUND(Assumptions!C8*Assumptions!C9,0),40/Assumptions!C9,"")</f>
        <v/>
      </c>
      <c r="D44" s="34" t="str">
        <f>IF(40&lt;=ROUND(Assumptions!C8*Assumptions!C9,0),Assumptions!C6*Assumptions!C7/Assumptions!C9,"")</f>
        <v/>
      </c>
      <c r="E44" s="34" t="str">
        <f>IF(40=ROUND(Assumptions!C8*Assumptions!C9,0),Assumptions!C6,IF(40&lt;ROUND(Assumptions!C8*Assumptions!C9,0),0,""))</f>
        <v/>
      </c>
      <c r="F44" s="34" t="str">
        <f>IF(40&lt;=ROUND(Assumptions!C8*Assumptions!C9,0),D44+E44,"")</f>
        <v/>
      </c>
      <c r="G44" s="35" t="str">
        <f>IF(40&lt;=ROUND(Assumptions!C8*Assumptions!C9,0),(1+Assumptions!C14/Assumptions!C9)^(-40),"")</f>
        <v/>
      </c>
      <c r="H44" s="34" t="str">
        <f>IF(40&lt;=ROUND(Assumptions!C8*Assumptions!C9,0),F44*G44,"")</f>
        <v/>
      </c>
      <c r="I44" s="34" t="str">
        <f>IF(40&lt;=ROUND(Assumptions!C8*Assumptions!C9,0),IF(40=1,H44,I43+H44),"")</f>
        <v/>
      </c>
    </row>
    <row r="45" spans="2:9" ht="15" customHeight="1" x14ac:dyDescent="0.2">
      <c r="B45" s="36" t="s">
        <v>79</v>
      </c>
      <c r="C45" s="37"/>
      <c r="D45" s="37"/>
      <c r="E45" s="37"/>
      <c r="F45" s="38">
        <f>SUM(F5:F44)</f>
        <v>1500</v>
      </c>
      <c r="G45" s="37"/>
      <c r="H45" s="38">
        <f>SUM(H5:H44)</f>
        <v>925.61262569772271</v>
      </c>
      <c r="I45" s="37"/>
    </row>
    <row r="47" spans="2:9" ht="15" customHeight="1" x14ac:dyDescent="0.2">
      <c r="B47" s="39" t="s">
        <v>80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8" sqref="D8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20" customWidth="1"/>
    <col min="4" max="4" width="38" customWidth="1"/>
  </cols>
  <sheetData>
    <row r="1" spans="1:5" ht="15" customHeight="1" x14ac:dyDescent="0.2">
      <c r="A1" s="59" t="s">
        <v>129</v>
      </c>
      <c r="B1" s="60"/>
      <c r="C1" s="60"/>
      <c r="D1" s="60"/>
      <c r="E1" s="60"/>
    </row>
    <row r="2" spans="1:5" ht="15" customHeight="1" x14ac:dyDescent="0.2">
      <c r="A2" s="61" t="s">
        <v>135</v>
      </c>
      <c r="B2" s="62"/>
      <c r="C2" s="62"/>
      <c r="D2" s="62"/>
      <c r="E2" s="62"/>
    </row>
    <row r="3" spans="1:5" ht="15" customHeight="1" x14ac:dyDescent="0.2">
      <c r="A3" s="9"/>
      <c r="B3" s="9"/>
      <c r="C3" s="9"/>
      <c r="D3" s="9"/>
      <c r="E3" s="9"/>
    </row>
    <row r="4" spans="1:5" ht="15" customHeight="1" x14ac:dyDescent="0.2">
      <c r="B4" s="63" t="s">
        <v>81</v>
      </c>
      <c r="C4" s="63"/>
      <c r="D4" s="63"/>
    </row>
    <row r="5" spans="1:5" ht="15" customHeight="1" x14ac:dyDescent="0.2">
      <c r="B5" s="10" t="s">
        <v>82</v>
      </c>
      <c r="C5" s="19">
        <f>Pricing!C19</f>
        <v>925.61262569772248</v>
      </c>
    </row>
    <row r="6" spans="1:5" ht="15" customHeight="1" x14ac:dyDescent="0.2">
      <c r="B6" s="10" t="s">
        <v>83</v>
      </c>
      <c r="C6" s="23">
        <f>Assumptions!C14</f>
        <v>0.06</v>
      </c>
    </row>
    <row r="7" spans="1:5" ht="15" customHeight="1" x14ac:dyDescent="0.2">
      <c r="B7" s="10" t="s">
        <v>84</v>
      </c>
      <c r="C7" s="23">
        <f>Assumptions!C14/Assumptions!C9</f>
        <v>0.03</v>
      </c>
    </row>
    <row r="8" spans="1:5" ht="15" customHeight="1" x14ac:dyDescent="0.2">
      <c r="B8" s="10" t="s">
        <v>85</v>
      </c>
      <c r="C8" s="22">
        <f>Assumptions!C9</f>
        <v>2</v>
      </c>
    </row>
    <row r="9" spans="1:5" ht="15" customHeight="1" x14ac:dyDescent="0.2">
      <c r="B9" s="10" t="s">
        <v>86</v>
      </c>
      <c r="C9" s="22">
        <f>ROUND(Assumptions!C8*Assumptions!C9,0)</f>
        <v>20</v>
      </c>
    </row>
    <row r="10" spans="1:5" ht="15" customHeight="1" x14ac:dyDescent="0.2">
      <c r="A10" s="9"/>
      <c r="B10" s="9"/>
      <c r="C10" s="9"/>
      <c r="D10" s="9"/>
      <c r="E10" s="9"/>
    </row>
    <row r="11" spans="1:5" ht="15" customHeight="1" x14ac:dyDescent="0.2">
      <c r="B11" s="63" t="s">
        <v>87</v>
      </c>
      <c r="C11" s="63"/>
      <c r="D11" s="63"/>
    </row>
    <row r="12" spans="1:5" ht="15" customHeight="1" x14ac:dyDescent="0.2">
      <c r="B12" s="18" t="s">
        <v>88</v>
      </c>
      <c r="C12" s="40">
        <f>SUMPRODUCT(IFERROR('Cash Flows'!C5:C44*'Cash Flows'!H5:H44,0))/Pricing!C19</f>
        <v>8.5285054719179382E-2</v>
      </c>
      <c r="D12" s="41"/>
    </row>
    <row r="13" spans="1:5" ht="15" customHeight="1" x14ac:dyDescent="0.2">
      <c r="A13" s="9"/>
      <c r="B13" s="9"/>
      <c r="C13" s="9"/>
      <c r="D13" s="9"/>
      <c r="E13" s="9"/>
    </row>
    <row r="14" spans="1:5" ht="15" customHeight="1" x14ac:dyDescent="0.2">
      <c r="B14" s="63" t="s">
        <v>89</v>
      </c>
      <c r="C14" s="63"/>
      <c r="D14" s="63"/>
    </row>
    <row r="15" spans="1:5" ht="15" customHeight="1" x14ac:dyDescent="0.2">
      <c r="B15" s="18" t="s">
        <v>90</v>
      </c>
      <c r="C15" s="40">
        <f>C12/(1+Assumptions!C14/Assumptions!C9)</f>
        <v>8.2801023999203277E-2</v>
      </c>
      <c r="D15" s="41" t="s">
        <v>91</v>
      </c>
    </row>
    <row r="16" spans="1:5" ht="15" customHeight="1" x14ac:dyDescent="0.2">
      <c r="A16" s="9"/>
      <c r="B16" s="9"/>
      <c r="C16" s="9"/>
      <c r="D16" s="9"/>
      <c r="E16" s="9"/>
    </row>
    <row r="17" spans="1:5" ht="15" customHeight="1" x14ac:dyDescent="0.2">
      <c r="B17" s="63" t="s">
        <v>92</v>
      </c>
      <c r="C17" s="63"/>
      <c r="D17" s="63"/>
    </row>
    <row r="18" spans="1:5" ht="15" customHeight="1" x14ac:dyDescent="0.2">
      <c r="B18" s="18" t="s">
        <v>93</v>
      </c>
      <c r="C18" s="42">
        <f>C15*Pricing!C19*0.0001</f>
        <v>7.6641673234362686E-3</v>
      </c>
      <c r="D18" s="41" t="s">
        <v>94</v>
      </c>
    </row>
    <row r="19" spans="1:5" ht="15" customHeight="1" x14ac:dyDescent="0.2">
      <c r="A19" s="9"/>
      <c r="B19" s="9"/>
      <c r="C19" s="9"/>
      <c r="D19" s="9"/>
      <c r="E19" s="9"/>
    </row>
    <row r="20" spans="1:5" ht="15" customHeight="1" x14ac:dyDescent="0.2">
      <c r="B20" s="63" t="s">
        <v>95</v>
      </c>
      <c r="C20" s="63"/>
      <c r="D20" s="63"/>
    </row>
    <row r="21" spans="1:5" ht="15" customHeight="1" x14ac:dyDescent="0.2">
      <c r="B21" s="18" t="s">
        <v>96</v>
      </c>
      <c r="C21" s="40">
        <f>SUMPRODUCT(N('Cash Flows'!B5:B44)*(N('Cash Flows'!B5:B44)+1)*N('Cash Flows'!H5:H44))/(Pricing!C19*(1+Assumptions!C14/Assumptions!C9)^2*Assumptions!C9^2)</f>
        <v>1.2358594107650191E-2</v>
      </c>
      <c r="D21" s="41"/>
    </row>
    <row r="22" spans="1:5" ht="15" customHeight="1" x14ac:dyDescent="0.2">
      <c r="A22" s="9"/>
      <c r="B22" s="9"/>
      <c r="C22" s="9"/>
      <c r="D22" s="9"/>
      <c r="E22" s="9"/>
    </row>
    <row r="23" spans="1:5" ht="15" customHeight="1" x14ac:dyDescent="0.2">
      <c r="B23" s="63" t="s">
        <v>97</v>
      </c>
      <c r="C23" s="63"/>
      <c r="D23" s="63"/>
    </row>
    <row r="24" spans="1:5" ht="15" customHeight="1" x14ac:dyDescent="0.2">
      <c r="B24" s="43" t="s">
        <v>98</v>
      </c>
      <c r="C24" s="15">
        <v>100</v>
      </c>
    </row>
    <row r="25" spans="1:5" ht="15" customHeight="1" x14ac:dyDescent="0.2">
      <c r="B25" s="18" t="s">
        <v>99</v>
      </c>
      <c r="C25" s="27">
        <f>Pricing!C19*(1-C15*C24/10000)</f>
        <v>924.84620896537888</v>
      </c>
      <c r="D25" s="41" t="s">
        <v>100</v>
      </c>
    </row>
    <row r="26" spans="1:5" ht="15" customHeight="1" x14ac:dyDescent="0.2">
      <c r="B26" s="18" t="s">
        <v>101</v>
      </c>
      <c r="C26" s="27">
        <f>Pricing!C19*(1-C15*C24/10000+0.5*C21*(C24/10000)^2)</f>
        <v>924.84678092891602</v>
      </c>
      <c r="D26" s="41" t="s">
        <v>102</v>
      </c>
    </row>
    <row r="27" spans="1:5" ht="15" customHeight="1" x14ac:dyDescent="0.2">
      <c r="B27" s="18" t="s">
        <v>103</v>
      </c>
      <c r="C27" s="27">
        <f>Assumptions!C6*Assumptions!C7/Assumptions!C9*(1-(1+(Assumptions!C14+C24/10000)/Assumptions!C9)^(-ROUND(Assumptions!C8*Assumptions!C9,0)))/((Assumptions!C14+C24/10000)/Assumptions!C9)+Assumptions!C6*(1+(Assumptions!C14+C24/10000)/Assumptions!C9)^(-ROUND(Assumptions!C8*Assumptions!C9,0))</f>
        <v>857.87596698047741</v>
      </c>
      <c r="D27" s="41" t="s">
        <v>104</v>
      </c>
    </row>
    <row r="28" spans="1:5" ht="15" customHeight="1" x14ac:dyDescent="0.2">
      <c r="B28" s="18" t="s">
        <v>105</v>
      </c>
      <c r="C28" s="27">
        <f>C27-C26</f>
        <v>-66.970813948438604</v>
      </c>
      <c r="D28" s="41" t="s">
        <v>106</v>
      </c>
    </row>
  </sheetData>
  <mergeCells count="8">
    <mergeCell ref="B17:D17"/>
    <mergeCell ref="B20:D20"/>
    <mergeCell ref="B23:D23"/>
    <mergeCell ref="A1:E1"/>
    <mergeCell ref="A2:E2"/>
    <mergeCell ref="B4:D4"/>
    <mergeCell ref="B11:D11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17" sqref="L17"/>
    </sheetView>
  </sheetViews>
  <sheetFormatPr baseColWidth="10" defaultColWidth="8.6640625" defaultRowHeight="15" x14ac:dyDescent="0.2"/>
  <cols>
    <col min="1" max="1" width="2" customWidth="1"/>
    <col min="2" max="5" width="14" customWidth="1"/>
    <col min="6" max="6" width="18" customWidth="1"/>
    <col min="7" max="7" width="20" customWidth="1"/>
  </cols>
  <sheetData>
    <row r="1" spans="1:7" ht="15" customHeight="1" x14ac:dyDescent="0.2">
      <c r="A1" s="59" t="s">
        <v>128</v>
      </c>
      <c r="B1" s="60"/>
      <c r="C1" s="60"/>
      <c r="D1" s="60"/>
      <c r="E1" s="60"/>
      <c r="F1" s="60"/>
      <c r="G1" s="60"/>
    </row>
    <row r="2" spans="1:7" ht="15" customHeight="1" x14ac:dyDescent="0.2">
      <c r="A2" s="61" t="s">
        <v>136</v>
      </c>
      <c r="B2" s="62"/>
      <c r="C2" s="62"/>
      <c r="D2" s="62"/>
      <c r="E2" s="62"/>
      <c r="F2" s="62"/>
      <c r="G2" s="62"/>
    </row>
    <row r="4" spans="1:7" ht="15" customHeight="1" x14ac:dyDescent="0.2">
      <c r="B4" s="31" t="s">
        <v>107</v>
      </c>
      <c r="C4" s="31" t="s">
        <v>82</v>
      </c>
      <c r="D4" s="31" t="s">
        <v>108</v>
      </c>
      <c r="E4" s="31" t="s">
        <v>109</v>
      </c>
      <c r="F4" s="31" t="s">
        <v>110</v>
      </c>
      <c r="G4" s="31" t="s">
        <v>111</v>
      </c>
    </row>
    <row r="5" spans="1:7" ht="15" customHeight="1" x14ac:dyDescent="0.2">
      <c r="B5" s="44">
        <f>Assumptions!C14-0.07</f>
        <v>-1.0000000000000009E-2</v>
      </c>
      <c r="C5" s="34">
        <f>IFERROR(Assumptions!C6*Assumptions!C7/Assumptions!C9*(1-(1+((Assumptions!C14-0.07)/Assumptions!C9))^(-ROUND(Assumptions!C8*Assumptions!C9,0)))/(((Assumptions!C14-0.07)/Assumptions!C9))+Assumptions!C6*(1+((Assumptions!C14-0.07)/Assumptions!C9))^(-ROUND(Assumptions!C8*Assumptions!C9,0)),ROUND(Assumptions!C8*Assumptions!C9,0)*Assumptions!C6*Assumptions!C7/Assumptions!C9+Assumptions!C6)</f>
        <v>1632.6890201167532</v>
      </c>
      <c r="D5" s="44">
        <f>C5/Assumptions!C6</f>
        <v>1.6326890201167532</v>
      </c>
      <c r="E5" s="45">
        <f>C5-Pricing!C19</f>
        <v>707.07639441903075</v>
      </c>
      <c r="F5" s="46" t="str">
        <f>IF(B5&gt;Assumptions!C7,"DISCOUNT",IF(B5&lt;Assumptions!C7,"PREMIUM","PAR"))</f>
        <v>PREMIUM</v>
      </c>
      <c r="G5" s="34">
        <f>Pricing!C19*(1-'Risk Metrics'!C15*(-0.07))</f>
        <v>930.97754282412791</v>
      </c>
    </row>
    <row r="6" spans="1:7" ht="15" customHeight="1" x14ac:dyDescent="0.2">
      <c r="B6" s="44">
        <f>Assumptions!C14-0.065</f>
        <v>-5.0000000000000044E-3</v>
      </c>
      <c r="C6" s="34">
        <f>IFERROR(Assumptions!C6*Assumptions!C7/Assumptions!C9*(1-(1+((Assumptions!C14-0.065)/Assumptions!C9))^(-ROUND(Assumptions!C8*Assumptions!C9,0)))/(((Assumptions!C14-0.065)/Assumptions!C9))+Assumptions!C6*(1+((Assumptions!C14-0.065)/Assumptions!C9))^(-ROUND(Assumptions!C8*Assumptions!C9,0)),ROUND(Assumptions!C8*Assumptions!C9,0)*Assumptions!C6*Assumptions!C7/Assumptions!C9+Assumptions!C6)</f>
        <v>1564.7060385214595</v>
      </c>
      <c r="D6" s="44">
        <f>C6/Assumptions!C6</f>
        <v>1.5647060385214595</v>
      </c>
      <c r="E6" s="45">
        <f>C6-Pricing!C19</f>
        <v>639.09341282373703</v>
      </c>
      <c r="F6" s="46" t="str">
        <f>IF(B6&gt;Assumptions!C7,"DISCOUNT",IF(B6&lt;Assumptions!C7,"PREMIUM","PAR"))</f>
        <v>PREMIUM</v>
      </c>
      <c r="G6" s="34">
        <f>Pricing!C19*(1-'Risk Metrics'!C15*(-0.065))</f>
        <v>930.59433445795605</v>
      </c>
    </row>
    <row r="7" spans="1:7" ht="15" customHeight="1" x14ac:dyDescent="0.2">
      <c r="B7" s="44">
        <f>Assumptions!C14-0.06</f>
        <v>0</v>
      </c>
      <c r="C7" s="34">
        <f>IFERROR(Assumptions!C6*Assumptions!C7/Assumptions!C9*(1-(1+((Assumptions!C14-0.06)/Assumptions!C9))^(-ROUND(Assumptions!C8*Assumptions!C9,0)))/(((Assumptions!C14-0.06)/Assumptions!C9))+Assumptions!C6*(1+((Assumptions!C14-0.06)/Assumptions!C9))^(-ROUND(Assumptions!C8*Assumptions!C9,0)),ROUND(Assumptions!C8*Assumptions!C9,0)*Assumptions!C6*Assumptions!C7/Assumptions!C9+Assumptions!C6)</f>
        <v>1500</v>
      </c>
      <c r="D7" s="44">
        <f>C7/Assumptions!C6</f>
        <v>1.5</v>
      </c>
      <c r="E7" s="45">
        <f>C7-Pricing!C19</f>
        <v>574.38737430227752</v>
      </c>
      <c r="F7" s="46" t="str">
        <f>IF(B7&gt;Assumptions!C7,"DISCOUNT",IF(B7&lt;Assumptions!C7,"PREMIUM","PAR"))</f>
        <v>PREMIUM</v>
      </c>
      <c r="G7" s="34">
        <f>Pricing!C19*(1-'Risk Metrics'!C15*(-0.06))</f>
        <v>930.21112609178419</v>
      </c>
    </row>
    <row r="8" spans="1:7" ht="15" customHeight="1" x14ac:dyDescent="0.2">
      <c r="B8" s="44">
        <f>Assumptions!C14-0.055</f>
        <v>4.9999999999999975E-3</v>
      </c>
      <c r="C8" s="34">
        <f>IFERROR(Assumptions!C6*Assumptions!C7/Assumptions!C9*(1-(1+((Assumptions!C14-0.055)/Assumptions!C9))^(-ROUND(Assumptions!C8*Assumptions!C9,0)))/(((Assumptions!C14-0.055)/Assumptions!C9))+Assumptions!C6*(1+((Assumptions!C14-0.055)/Assumptions!C9))^(-ROUND(Assumptions!C8*Assumptions!C9,0)),ROUND(Assumptions!C8*Assumptions!C9,0)*Assumptions!C6*Assumptions!C7/Assumptions!C9+Assumptions!C6)</f>
        <v>1438.4009863855338</v>
      </c>
      <c r="D8" s="44">
        <f>C8/Assumptions!C6</f>
        <v>1.4384009863855338</v>
      </c>
      <c r="E8" s="45">
        <f>C8-Pricing!C19</f>
        <v>512.78836068781129</v>
      </c>
      <c r="F8" s="46" t="str">
        <f>IF(B8&gt;Assumptions!C7,"DISCOUNT",IF(B8&lt;Assumptions!C7,"PREMIUM","PAR"))</f>
        <v>PREMIUM</v>
      </c>
      <c r="G8" s="34">
        <f>Pricing!C19*(1-'Risk Metrics'!C15*(-0.055))</f>
        <v>929.82791772561245</v>
      </c>
    </row>
    <row r="9" spans="1:7" ht="15" customHeight="1" x14ac:dyDescent="0.2">
      <c r="B9" s="44">
        <f>Assumptions!C14-0.05</f>
        <v>9.999999999999995E-3</v>
      </c>
      <c r="C9" s="34">
        <f>IFERROR(Assumptions!C6*Assumptions!C7/Assumptions!C9*(1-(1+((Assumptions!C14-0.05)/Assumptions!C9))^(-ROUND(Assumptions!C8*Assumptions!C9,0)))/(((Assumptions!C14-0.05)/Assumptions!C9))+Assumptions!C6*(1+((Assumptions!C14-0.05)/Assumptions!C9))^(-ROUND(Assumptions!C8*Assumptions!C9,0)),ROUND(Assumptions!C8*Assumptions!C9,0)*Assumptions!C6*Assumptions!C7/Assumptions!C9+Assumptions!C6)</f>
        <v>1379.7483829333864</v>
      </c>
      <c r="D9" s="44">
        <f>C9/Assumptions!C6</f>
        <v>1.3797483829333865</v>
      </c>
      <c r="E9" s="45">
        <f>C9-Pricing!C19</f>
        <v>454.13575723566396</v>
      </c>
      <c r="F9" s="46" t="str">
        <f>IF(B9&gt;Assumptions!C7,"DISCOUNT",IF(B9&lt;Assumptions!C7,"PREMIUM","PAR"))</f>
        <v>PREMIUM</v>
      </c>
      <c r="G9" s="34">
        <f>Pricing!C19*(1-'Risk Metrics'!C15*(-0.05))</f>
        <v>929.44470935944048</v>
      </c>
    </row>
    <row r="10" spans="1:7" ht="15" customHeight="1" x14ac:dyDescent="0.2">
      <c r="B10" s="44">
        <f>Assumptions!C14-0.045</f>
        <v>1.4999999999999999E-2</v>
      </c>
      <c r="C10" s="34">
        <f>IFERROR(Assumptions!C6*Assumptions!C7/Assumptions!C9*(1-(1+((Assumptions!C14-0.045)/Assumptions!C9))^(-ROUND(Assumptions!C8*Assumptions!C9,0)))/(((Assumptions!C14-0.045)/Assumptions!C9))+Assumptions!C6*(1+((Assumptions!C14-0.045)/Assumptions!C9))^(-ROUND(Assumptions!C8*Assumptions!C9,0)),ROUND(Assumptions!C8*Assumptions!C9,0)*Assumptions!C6*Assumptions!C7/Assumptions!C9+Assumptions!C6)</f>
        <v>1323.890344639753</v>
      </c>
      <c r="D10" s="44">
        <f>C10/Assumptions!C6</f>
        <v>1.323890344639753</v>
      </c>
      <c r="E10" s="45">
        <f>C10-Pricing!C19</f>
        <v>398.27771894203056</v>
      </c>
      <c r="F10" s="46" t="str">
        <f>IF(B10&gt;Assumptions!C7,"DISCOUNT",IF(B10&lt;Assumptions!C7,"PREMIUM","PAR"))</f>
        <v>PREMIUM</v>
      </c>
      <c r="G10" s="34">
        <f>Pricing!C19*(1-'Risk Metrics'!C15*(-0.045))</f>
        <v>929.06150099326885</v>
      </c>
    </row>
    <row r="11" spans="1:7" ht="15" customHeight="1" x14ac:dyDescent="0.2">
      <c r="B11" s="44">
        <f>Assumptions!C14-0.04</f>
        <v>1.9999999999999997E-2</v>
      </c>
      <c r="C11" s="34">
        <f>IFERROR(Assumptions!C6*Assumptions!C7/Assumptions!C9*(1-(1+((Assumptions!C14-0.04)/Assumptions!C9))^(-ROUND(Assumptions!C8*Assumptions!C9,0)))/(((Assumptions!C14-0.04)/Assumptions!C9))+Assumptions!C6*(1+((Assumptions!C14-0.04)/Assumptions!C9))^(-ROUND(Assumptions!C8*Assumptions!C9,0)),ROUND(Assumptions!C8*Assumptions!C9,0)*Assumptions!C6*Assumptions!C7/Assumptions!C9+Assumptions!C6)</f>
        <v>1270.683294494057</v>
      </c>
      <c r="D11" s="44">
        <f>C11/Assumptions!C6</f>
        <v>1.2706832944940569</v>
      </c>
      <c r="E11" s="45">
        <f>C11-Pricing!C19</f>
        <v>345.07066879633453</v>
      </c>
      <c r="F11" s="46" t="str">
        <f>IF(B11&gt;Assumptions!C7,"DISCOUNT",IF(B11&lt;Assumptions!C7,"PREMIUM","PAR"))</f>
        <v>PREMIUM</v>
      </c>
      <c r="G11" s="34">
        <f>Pricing!C19*(1-'Risk Metrics'!C15*(-0.04))</f>
        <v>928.67829262709688</v>
      </c>
    </row>
    <row r="12" spans="1:7" ht="15" customHeight="1" x14ac:dyDescent="0.2">
      <c r="B12" s="44">
        <f>Assumptions!C14-0.035</f>
        <v>2.4999999999999994E-2</v>
      </c>
      <c r="C12" s="34">
        <f>IFERROR(Assumptions!C6*Assumptions!C7/Assumptions!C9*(1-(1+((Assumptions!C14-0.035)/Assumptions!C9))^(-ROUND(Assumptions!C8*Assumptions!C9,0)))/(((Assumptions!C14-0.035)/Assumptions!C9))+Assumptions!C6*(1+((Assumptions!C14-0.035)/Assumptions!C9))^(-ROUND(Assumptions!C8*Assumptions!C9,0)),ROUND(Assumptions!C8*Assumptions!C9,0)*Assumptions!C6*Assumptions!C7/Assumptions!C9+Assumptions!C6)</f>
        <v>1219.9914516778199</v>
      </c>
      <c r="D12" s="44">
        <f>C12/Assumptions!C6</f>
        <v>1.2199914516778199</v>
      </c>
      <c r="E12" s="45">
        <f>C12-Pricing!C19</f>
        <v>294.37882598009742</v>
      </c>
      <c r="F12" s="46" t="str">
        <f>IF(B12&gt;Assumptions!C7,"DISCOUNT",IF(B12&lt;Assumptions!C7,"PREMIUM","PAR"))</f>
        <v>PREMIUM</v>
      </c>
      <c r="G12" s="34">
        <f>Pricing!C19*(1-'Risk Metrics'!C15*(-0.035))</f>
        <v>928.29508426092525</v>
      </c>
    </row>
    <row r="13" spans="1:7" ht="15" customHeight="1" x14ac:dyDescent="0.2">
      <c r="B13" s="44">
        <f>Assumptions!C14-0.03</f>
        <v>0.03</v>
      </c>
      <c r="C13" s="34">
        <f>IFERROR(Assumptions!C6*Assumptions!C7/Assumptions!C9*(1-(1+((Assumptions!C14-0.03)/Assumptions!C9))^(-ROUND(Assumptions!C8*Assumptions!C9,0)))/(((Assumptions!C14-0.03)/Assumptions!C9))+Assumptions!C6*(1+((Assumptions!C14-0.03)/Assumptions!C9))^(-ROUND(Assumptions!C8*Assumptions!C9,0)),ROUND(Assumptions!C8*Assumptions!C9,0)*Assumptions!C6*Assumptions!C7/Assumptions!C9+Assumptions!C6)</f>
        <v>1171.6863878508179</v>
      </c>
      <c r="D13" s="44">
        <f>C13/Assumptions!C6</f>
        <v>1.1716863878508179</v>
      </c>
      <c r="E13" s="45">
        <f>C13-Pricing!C19</f>
        <v>246.07376215309546</v>
      </c>
      <c r="F13" s="46" t="str">
        <f>IF(B13&gt;Assumptions!C7,"DISCOUNT",IF(B13&lt;Assumptions!C7,"PREMIUM","PAR"))</f>
        <v>PREMIUM</v>
      </c>
      <c r="G13" s="34">
        <f>Pricing!C19*(1-'Risk Metrics'!C15*(-0.03))</f>
        <v>927.91187589475328</v>
      </c>
    </row>
    <row r="14" spans="1:7" ht="15" customHeight="1" x14ac:dyDescent="0.2">
      <c r="B14" s="44">
        <f>Assumptions!C14-0.025</f>
        <v>3.4999999999999996E-2</v>
      </c>
      <c r="C14" s="34">
        <f>IFERROR(Assumptions!C6*Assumptions!C7/Assumptions!C9*(1-(1+((Assumptions!C14-0.025)/Assumptions!C9))^(-ROUND(Assumptions!C8*Assumptions!C9,0)))/(((Assumptions!C14-0.025)/Assumptions!C9))+Assumptions!C6*(1+((Assumptions!C14-0.025)/Assumptions!C9))^(-ROUND(Assumptions!C8*Assumptions!C9,0)),ROUND(Assumptions!C8*Assumptions!C9,0)*Assumptions!C6*Assumptions!C7/Assumptions!C9+Assumptions!C6)</f>
        <v>1125.6466097856273</v>
      </c>
      <c r="D14" s="44">
        <f>C14/Assumptions!C6</f>
        <v>1.1256466097856273</v>
      </c>
      <c r="E14" s="45">
        <f>C14-Pricing!C19</f>
        <v>200.03398408790486</v>
      </c>
      <c r="F14" s="46" t="str">
        <f>IF(B14&gt;Assumptions!C7,"DISCOUNT",IF(B14&lt;Assumptions!C7,"PREMIUM","PAR"))</f>
        <v>PREMIUM</v>
      </c>
      <c r="G14" s="34">
        <f>Pricing!C19*(1-'Risk Metrics'!C15*(-0.025))</f>
        <v>927.52866752858165</v>
      </c>
    </row>
    <row r="15" spans="1:7" ht="15" customHeight="1" x14ac:dyDescent="0.2">
      <c r="B15" s="44">
        <f>Assumptions!C14-0.02</f>
        <v>3.9999999999999994E-2</v>
      </c>
      <c r="C15" s="34">
        <f>IFERROR(Assumptions!C6*Assumptions!C7/Assumptions!C9*(1-(1+((Assumptions!C14-0.02)/Assumptions!C9))^(-ROUND(Assumptions!C8*Assumptions!C9,0)))/(((Assumptions!C14-0.02)/Assumptions!C9))+Assumptions!C6*(1+((Assumptions!C14-0.02)/Assumptions!C9))^(-ROUND(Assumptions!C8*Assumptions!C9,0)),ROUND(Assumptions!C8*Assumptions!C9,0)*Assumptions!C6*Assumptions!C7/Assumptions!C9+Assumptions!C6)</f>
        <v>1081.7571667229856</v>
      </c>
      <c r="D15" s="44">
        <f>C15/Assumptions!C6</f>
        <v>1.0817571667229857</v>
      </c>
      <c r="E15" s="45">
        <f>C15-Pricing!C19</f>
        <v>156.14454102526315</v>
      </c>
      <c r="F15" s="46" t="str">
        <f>IF(B15&gt;Assumptions!C7,"DISCOUNT",IF(B15&lt;Assumptions!C7,"PREMIUM","PAR"))</f>
        <v>PREMIUM</v>
      </c>
      <c r="G15" s="34">
        <f>Pricing!C19*(1-'Risk Metrics'!C15*(-0.02))</f>
        <v>927.14545916240968</v>
      </c>
    </row>
    <row r="16" spans="1:7" ht="15" customHeight="1" x14ac:dyDescent="0.2">
      <c r="B16" s="44">
        <f>Assumptions!C14-0.015</f>
        <v>4.4999999999999998E-2</v>
      </c>
      <c r="C16" s="34">
        <f>IFERROR(Assumptions!C6*Assumptions!C7/Assumptions!C9*(1-(1+((Assumptions!C14-0.015)/Assumptions!C9))^(-ROUND(Assumptions!C8*Assumptions!C9,0)))/(((Assumptions!C14-0.015)/Assumptions!C9))+Assumptions!C6*(1+((Assumptions!C14-0.015)/Assumptions!C9))^(-ROUND(Assumptions!C8*Assumptions!C9,0)),ROUND(Assumptions!C8*Assumptions!C9,0)*Assumptions!C6*Assumptions!C7/Assumptions!C9+Assumptions!C6)</f>
        <v>1039.9092809249396</v>
      </c>
      <c r="D16" s="44">
        <f>C16/Assumptions!C6</f>
        <v>1.0399092809249395</v>
      </c>
      <c r="E16" s="45">
        <f>C16-Pricing!C19</f>
        <v>114.29665522721712</v>
      </c>
      <c r="F16" s="46" t="str">
        <f>IF(B16&gt;Assumptions!C7,"DISCOUNT",IF(B16&lt;Assumptions!C7,"PREMIUM","PAR"))</f>
        <v>PREMIUM</v>
      </c>
      <c r="G16" s="34">
        <f>Pricing!C19*(1-'Risk Metrics'!C15*(-0.015))</f>
        <v>926.76225079623805</v>
      </c>
    </row>
    <row r="17" spans="2:7" ht="15" customHeight="1" x14ac:dyDescent="0.2">
      <c r="B17" s="44">
        <f>Assumptions!C14-0.01</f>
        <v>4.9999999999999996E-2</v>
      </c>
      <c r="C17" s="34">
        <f>IFERROR(Assumptions!C6*Assumptions!C7/Assumptions!C9*(1-(1+((Assumptions!C14-0.01)/Assumptions!C9))^(-ROUND(Assumptions!C8*Assumptions!C9,0)))/(((Assumptions!C14-0.01)/Assumptions!C9))+Assumptions!C6*(1+((Assumptions!C14-0.01)/Assumptions!C9))^(-ROUND(Assumptions!C8*Assumptions!C9,0)),ROUND(Assumptions!C8*Assumptions!C9,0)*Assumptions!C6*Assumptions!C7/Assumptions!C9+Assumptions!C6)</f>
        <v>1000</v>
      </c>
      <c r="D17" s="44">
        <f>C17/Assumptions!C6</f>
        <v>1</v>
      </c>
      <c r="E17" s="45">
        <f>C17-Pricing!C19</f>
        <v>74.387374302277522</v>
      </c>
      <c r="F17" s="46" t="str">
        <f>IF(B17&gt;Assumptions!C7,"DISCOUNT",IF(B17&lt;Assumptions!C7,"PREMIUM","PAR"))</f>
        <v>PAR</v>
      </c>
      <c r="G17" s="34">
        <f>Pricing!C19*(1-'Risk Metrics'!C15*(-0.01))</f>
        <v>926.37904243006608</v>
      </c>
    </row>
    <row r="18" spans="2:7" ht="15" customHeight="1" x14ac:dyDescent="0.2">
      <c r="B18" s="44">
        <f>Assumptions!C14-0.005</f>
        <v>5.5E-2</v>
      </c>
      <c r="C18" s="34">
        <f>IFERROR(Assumptions!C6*Assumptions!C7/Assumptions!C9*(1-(1+((Assumptions!C14-0.005)/Assumptions!C9))^(-ROUND(Assumptions!C8*Assumptions!C9,0)))/(((Assumptions!C14-0.005)/Assumptions!C9))+Assumptions!C6*(1+((Assumptions!C14-0.005)/Assumptions!C9))^(-ROUND(Assumptions!C8*Assumptions!C9,0)),ROUND(Assumptions!C8*Assumptions!C9,0)*Assumptions!C6*Assumptions!C7/Assumptions!C9+Assumptions!C6)</f>
        <v>961.93186966556095</v>
      </c>
      <c r="D18" s="44">
        <f>C18/Assumptions!C6</f>
        <v>0.96193186966556099</v>
      </c>
      <c r="E18" s="45">
        <f>C18-Pricing!C19</f>
        <v>36.319243967838474</v>
      </c>
      <c r="F18" s="46" t="str">
        <f>IF(B18&gt;Assumptions!C7,"DISCOUNT",IF(B18&lt;Assumptions!C7,"PREMIUM","PAR"))</f>
        <v>DISCOUNT</v>
      </c>
      <c r="G18" s="34">
        <f>Pricing!C19*(1-'Risk Metrics'!C15*(-0.005))</f>
        <v>925.99583406389434</v>
      </c>
    </row>
    <row r="19" spans="2:7" ht="15" customHeight="1" x14ac:dyDescent="0.2">
      <c r="B19" s="47">
        <f>Assumptions!C14</f>
        <v>0.06</v>
      </c>
      <c r="C19" s="48">
        <f>IFERROR(Assumptions!C6*Assumptions!C7/Assumptions!C9*(1-(1+((Assumptions!C14+0)/Assumptions!C9))^(-ROUND(Assumptions!C8*Assumptions!C9,0)))/(((Assumptions!C14+0)/Assumptions!C9))+Assumptions!C6*(1+((Assumptions!C14+0)/Assumptions!C9))^(-ROUND(Assumptions!C8*Assumptions!C9,0)),ROUND(Assumptions!C8*Assumptions!C9,0)*Assumptions!C6*Assumptions!C7/Assumptions!C9+Assumptions!C6)</f>
        <v>925.61262569772248</v>
      </c>
      <c r="D19" s="44">
        <f>C19/Assumptions!C6</f>
        <v>0.92561262569772251</v>
      </c>
      <c r="E19" s="45">
        <f>C19-Pricing!C19</f>
        <v>0</v>
      </c>
      <c r="F19" s="46" t="str">
        <f>IF(B19&gt;Assumptions!C7,"DISCOUNT",IF(B19&lt;Assumptions!C7,"PREMIUM","PAR"))</f>
        <v>DISCOUNT</v>
      </c>
      <c r="G19" s="34">
        <f>Pricing!C19*(1-'Risk Metrics'!C15*(0))</f>
        <v>925.61262569772248</v>
      </c>
    </row>
    <row r="20" spans="2:7" ht="15" customHeight="1" x14ac:dyDescent="0.2">
      <c r="B20" s="44">
        <f>+Assumptions!C14+0.005</f>
        <v>6.5000000000000002E-2</v>
      </c>
      <c r="C20" s="34">
        <f>IFERROR(Assumptions!C6*Assumptions!C7/Assumptions!C9*(1-(1+((Assumptions!C14+0.005)/Assumptions!C9))^(-ROUND(Assumptions!C8*Assumptions!C9,0)))/(((Assumptions!C14+0.005)/Assumptions!C9))+Assumptions!C6*(1+((Assumptions!C14+0.005)/Assumptions!C9))^(-ROUND(Assumptions!C8*Assumptions!C9,0)),ROUND(Assumptions!C8*Assumptions!C9,0)*Assumptions!C6*Assumptions!C7/Assumptions!C9+Assumptions!C6)</f>
        <v>890.95490389799329</v>
      </c>
      <c r="D20" s="44">
        <f>C20/Assumptions!C6</f>
        <v>0.89095490389799326</v>
      </c>
      <c r="E20" s="45">
        <f>C20-Pricing!C19</f>
        <v>-34.657721799729188</v>
      </c>
      <c r="F20" s="46" t="str">
        <f>IF(B20&gt;Assumptions!C7,"DISCOUNT",IF(B20&lt;Assumptions!C7,"PREMIUM","PAR"))</f>
        <v>DISCOUNT</v>
      </c>
      <c r="G20" s="34">
        <f>Pricing!C19*(1-'Risk Metrics'!C15*(0.005))</f>
        <v>925.22941733155062</v>
      </c>
    </row>
    <row r="21" spans="2:7" ht="15" customHeight="1" x14ac:dyDescent="0.2">
      <c r="B21" s="44">
        <f>+Assumptions!C14+0.01</f>
        <v>6.9999999999999993E-2</v>
      </c>
      <c r="C21" s="34">
        <f>IFERROR(Assumptions!C6*Assumptions!C7/Assumptions!C9*(1-(1+((Assumptions!C14+0.01)/Assumptions!C9))^(-ROUND(Assumptions!C8*Assumptions!C9,0)))/(((Assumptions!C14+0.01)/Assumptions!C9))+Assumptions!C6*(1+((Assumptions!C14+0.01)/Assumptions!C9))^(-ROUND(Assumptions!C8*Assumptions!C9,0)),ROUND(Assumptions!C8*Assumptions!C9,0)*Assumptions!C6*Assumptions!C7/Assumptions!C9+Assumptions!C6)</f>
        <v>857.87596698047741</v>
      </c>
      <c r="D21" s="44">
        <f>C21/Assumptions!C6</f>
        <v>0.85787596698047741</v>
      </c>
      <c r="E21" s="45">
        <f>C21-Pricing!C19</f>
        <v>-67.736658717245064</v>
      </c>
      <c r="F21" s="46" t="str">
        <f>IF(B21&gt;Assumptions!C7,"DISCOUNT",IF(B21&lt;Assumptions!C7,"PREMIUM","PAR"))</f>
        <v>DISCOUNT</v>
      </c>
      <c r="G21" s="34">
        <f>Pricing!C19*(1-'Risk Metrics'!C15*(0.01))</f>
        <v>924.84620896537888</v>
      </c>
    </row>
    <row r="22" spans="2:7" ht="15" customHeight="1" x14ac:dyDescent="0.2">
      <c r="B22" s="44">
        <f>+Assumptions!C14+0.015</f>
        <v>7.4999999999999997E-2</v>
      </c>
      <c r="C22" s="34">
        <f>IFERROR(Assumptions!C6*Assumptions!C7/Assumptions!C9*(1-(1+((Assumptions!C14+0.015)/Assumptions!C9))^(-ROUND(Assumptions!C8*Assumptions!C9,0)))/(((Assumptions!C14+0.015)/Assumptions!C9))+Assumptions!C6*(1+((Assumptions!C14+0.015)/Assumptions!C9))^(-ROUND(Assumptions!C8*Assumptions!C9,0)),ROUND(Assumptions!C8*Assumptions!C9,0)*Assumptions!C6*Assumptions!C7/Assumptions!C9+Assumptions!C6)</f>
        <v>826.29744735238967</v>
      </c>
      <c r="D22" s="44">
        <f>C22/Assumptions!C6</f>
        <v>0.82629744735238964</v>
      </c>
      <c r="E22" s="45">
        <f>C22-Pricing!C19</f>
        <v>-99.315178345332811</v>
      </c>
      <c r="F22" s="46" t="str">
        <f>IF(B22&gt;Assumptions!C7,"DISCOUNT",IF(B22&lt;Assumptions!C7,"PREMIUM","PAR"))</f>
        <v>DISCOUNT</v>
      </c>
      <c r="G22" s="34">
        <f>Pricing!C19*(1-'Risk Metrics'!C15*(0.015))</f>
        <v>924.46300059920702</v>
      </c>
    </row>
    <row r="23" spans="2:7" ht="15" customHeight="1" x14ac:dyDescent="0.2">
      <c r="B23" s="44">
        <f>+Assumptions!C14+0.02</f>
        <v>0.08</v>
      </c>
      <c r="C23" s="34">
        <f>IFERROR(Assumptions!C6*Assumptions!C7/Assumptions!C9*(1-(1+((Assumptions!C14+0.02)/Assumptions!C9))^(-ROUND(Assumptions!C8*Assumptions!C9,0)))/(((Assumptions!C14+0.02)/Assumptions!C9))+Assumptions!C6*(1+((Assumptions!C14+0.02)/Assumptions!C9))^(-ROUND(Assumptions!C8*Assumptions!C9,0)),ROUND(Assumptions!C8*Assumptions!C9,0)*Assumptions!C6*Assumptions!C7/Assumptions!C9+Assumptions!C6)</f>
        <v>796.14510482548451</v>
      </c>
      <c r="D23" s="44">
        <f>C23/Assumptions!C6</f>
        <v>0.79614510482548451</v>
      </c>
      <c r="E23" s="45">
        <f>C23-Pricing!C19</f>
        <v>-129.46752087223797</v>
      </c>
      <c r="F23" s="46" t="str">
        <f>IF(B23&gt;Assumptions!C7,"DISCOUNT",IF(B23&lt;Assumptions!C7,"PREMIUM","PAR"))</f>
        <v>DISCOUNT</v>
      </c>
      <c r="G23" s="34">
        <f>Pricing!C19*(1-'Risk Metrics'!C15*(0.02))</f>
        <v>924.07979223303528</v>
      </c>
    </row>
    <row r="24" spans="2:7" ht="15" customHeight="1" x14ac:dyDescent="0.2">
      <c r="B24" s="44">
        <f>+Assumptions!C14+0.025</f>
        <v>8.4999999999999992E-2</v>
      </c>
      <c r="C24" s="34">
        <f>IFERROR(Assumptions!C6*Assumptions!C7/Assumptions!C9*(1-(1+((Assumptions!C14+0.025)/Assumptions!C9))^(-ROUND(Assumptions!C8*Assumptions!C9,0)))/(((Assumptions!C14+0.025)/Assumptions!C9))+Assumptions!C6*(1+((Assumptions!C14+0.025)/Assumptions!C9))^(-ROUND(Assumptions!C8*Assumptions!C9,0)),ROUND(Assumptions!C8*Assumptions!C9,0)*Assumptions!C6*Assumptions!C7/Assumptions!C9+Assumptions!C6)</f>
        <v>767.34859835645148</v>
      </c>
      <c r="D24" s="44">
        <f>C24/Assumptions!C6</f>
        <v>0.76734859835645153</v>
      </c>
      <c r="E24" s="45">
        <f>C24-Pricing!C19</f>
        <v>-158.264027341271</v>
      </c>
      <c r="F24" s="46" t="str">
        <f>IF(B24&gt;Assumptions!C7,"DISCOUNT",IF(B24&lt;Assumptions!C7,"PREMIUM","PAR"))</f>
        <v>DISCOUNT</v>
      </c>
      <c r="G24" s="34">
        <f>Pricing!C19*(1-'Risk Metrics'!C15*(0.025))</f>
        <v>923.69658386686342</v>
      </c>
    </row>
    <row r="25" spans="2:7" ht="15" customHeight="1" x14ac:dyDescent="0.2">
      <c r="B25" s="44">
        <f>+Assumptions!C14+0.03</f>
        <v>0.09</v>
      </c>
      <c r="C25" s="34">
        <f>IFERROR(Assumptions!C6*Assumptions!C7/Assumptions!C9*(1-(1+((Assumptions!C14+0.03)/Assumptions!C9))^(-ROUND(Assumptions!C8*Assumptions!C9,0)))/(((Assumptions!C14+0.03)/Assumptions!C9))+Assumptions!C6*(1+((Assumptions!C14+0.03)/Assumptions!C9))^(-ROUND(Assumptions!C8*Assumptions!C9,0)),ROUND(Assumptions!C8*Assumptions!C9,0)*Assumptions!C6*Assumptions!C7/Assumptions!C9+Assumptions!C6)</f>
        <v>739.84127097092642</v>
      </c>
      <c r="D25" s="44">
        <f>C25/Assumptions!C6</f>
        <v>0.73984127097092645</v>
      </c>
      <c r="E25" s="45">
        <f>C25-Pricing!C19</f>
        <v>-185.77135472679606</v>
      </c>
      <c r="F25" s="46" t="str">
        <f>IF(B25&gt;Assumptions!C7,"DISCOUNT",IF(B25&lt;Assumptions!C7,"PREMIUM","PAR"))</f>
        <v>DISCOUNT</v>
      </c>
      <c r="G25" s="34">
        <f>Pricing!C19*(1-'Risk Metrics'!C15*(0.03))</f>
        <v>923.31337550069168</v>
      </c>
    </row>
    <row r="26" spans="2:7" ht="15" customHeight="1" x14ac:dyDescent="0.2">
      <c r="B26" s="44">
        <f>+Assumptions!C14+0.035</f>
        <v>9.5000000000000001E-2</v>
      </c>
      <c r="C26" s="34">
        <f>IFERROR(Assumptions!C6*Assumptions!C7/Assumptions!C9*(1-(1+((Assumptions!C14+0.035)/Assumptions!C9))^(-ROUND(Assumptions!C8*Assumptions!C9,0)))/(((Assumptions!C14+0.035)/Assumptions!C9))+Assumptions!C6*(1+((Assumptions!C14+0.035)/Assumptions!C9))^(-ROUND(Assumptions!C8*Assumptions!C9,0)),ROUND(Assumptions!C8*Assumptions!C9,0)*Assumptions!C6*Assumptions!C7/Assumptions!C9+Assumptions!C6)</f>
        <v>713.55994707861328</v>
      </c>
      <c r="D26" s="44">
        <f>C26/Assumptions!C6</f>
        <v>0.71355994707861325</v>
      </c>
      <c r="E26" s="45">
        <f>C26-Pricing!C19</f>
        <v>-212.0526786191092</v>
      </c>
      <c r="F26" s="46" t="str">
        <f>IF(B26&gt;Assumptions!C7,"DISCOUNT",IF(B26&lt;Assumptions!C7,"PREMIUM","PAR"))</f>
        <v>DISCOUNT</v>
      </c>
      <c r="G26" s="34">
        <f>Pricing!C19*(1-'Risk Metrics'!C15*(0.035))</f>
        <v>922.93016713451971</v>
      </c>
    </row>
    <row r="27" spans="2:7" ht="15" customHeight="1" x14ac:dyDescent="0.2">
      <c r="B27" s="44">
        <f>+Assumptions!C14+0.04</f>
        <v>0.1</v>
      </c>
      <c r="C27" s="34">
        <f>IFERROR(Assumptions!C6*Assumptions!C7/Assumptions!C9*(1-(1+((Assumptions!C14+0.04)/Assumptions!C9))^(-ROUND(Assumptions!C8*Assumptions!C9,0)))/(((Assumptions!C14+0.04)/Assumptions!C9))+Assumptions!C6*(1+((Assumptions!C14+0.04)/Assumptions!C9))^(-ROUND(Assumptions!C8*Assumptions!C9,0)),ROUND(Assumptions!C8*Assumptions!C9,0)*Assumptions!C6*Assumptions!C7/Assumptions!C9+Assumptions!C6)</f>
        <v>688.44474143650018</v>
      </c>
      <c r="D27" s="44">
        <f>C27/Assumptions!C6</f>
        <v>0.68844474143650014</v>
      </c>
      <c r="E27" s="45">
        <f>C27-Pricing!C19</f>
        <v>-237.1678842612223</v>
      </c>
      <c r="F27" s="46" t="str">
        <f>IF(B27&gt;Assumptions!C7,"DISCOUNT",IF(B27&lt;Assumptions!C7,"PREMIUM","PAR"))</f>
        <v>DISCOUNT</v>
      </c>
      <c r="G27" s="34">
        <f>Pricing!C19*(1-'Risk Metrics'!C15*(0.04))</f>
        <v>922.54695876834796</v>
      </c>
    </row>
    <row r="28" spans="2:7" ht="15" customHeight="1" x14ac:dyDescent="0.2">
      <c r="B28" s="44">
        <f>+Assumptions!C14+0.045</f>
        <v>0.105</v>
      </c>
      <c r="C28" s="34">
        <f>IFERROR(Assumptions!C6*Assumptions!C7/Assumptions!C9*(1-(1+((Assumptions!C14+0.045)/Assumptions!C9))^(-ROUND(Assumptions!C8*Assumptions!C9,0)))/(((Assumptions!C14+0.045)/Assumptions!C9))+Assumptions!C6*(1+((Assumptions!C14+0.045)/Assumptions!C9))^(-ROUND(Assumptions!C8*Assumptions!C9,0)),ROUND(Assumptions!C8*Assumptions!C9,0)*Assumptions!C6*Assumptions!C7/Assumptions!C9+Assumptions!C6)</f>
        <v>664.43887906337307</v>
      </c>
      <c r="D28" s="44">
        <f>C28/Assumptions!C6</f>
        <v>0.66443887906337307</v>
      </c>
      <c r="E28" s="45">
        <f>C28-Pricing!C19</f>
        <v>-261.17374663434941</v>
      </c>
      <c r="F28" s="46" t="str">
        <f>IF(B28&gt;Assumptions!C7,"DISCOUNT",IF(B28&lt;Assumptions!C7,"PREMIUM","PAR"))</f>
        <v>DISCOUNT</v>
      </c>
      <c r="G28" s="34">
        <f>Pricing!C19*(1-'Risk Metrics'!C15*(0.045))</f>
        <v>922.16375040217611</v>
      </c>
    </row>
    <row r="29" spans="2:7" ht="15" customHeight="1" x14ac:dyDescent="0.2">
      <c r="B29" s="44">
        <f>+Assumptions!C14+0.05</f>
        <v>0.11</v>
      </c>
      <c r="C29" s="34">
        <f>IFERROR(Assumptions!C6*Assumptions!C7/Assumptions!C9*(1-(1+((Assumptions!C14+0.05)/Assumptions!C9))^(-ROUND(Assumptions!C8*Assumptions!C9,0)))/(((Assumptions!C14+0.05)/Assumptions!C9))+Assumptions!C6*(1+((Assumptions!C14+0.05)/Assumptions!C9))^(-ROUND(Assumptions!C8*Assumptions!C9,0)),ROUND(Assumptions!C8*Assumptions!C9,0)*Assumptions!C6*Assumptions!C7/Assumptions!C9+Assumptions!C6)</f>
        <v>641.48852545215118</v>
      </c>
      <c r="D29" s="44">
        <f>C29/Assumptions!C6</f>
        <v>0.64148852545215118</v>
      </c>
      <c r="E29" s="45">
        <f>C29-Pricing!C19</f>
        <v>-284.1241002455713</v>
      </c>
      <c r="F29" s="46" t="str">
        <f>IF(B29&gt;Assumptions!C7,"DISCOUNT",IF(B29&lt;Assumptions!C7,"PREMIUM","PAR"))</f>
        <v>DISCOUNT</v>
      </c>
      <c r="G29" s="34">
        <f>Pricing!C19*(1-'Risk Metrics'!C15*(0.05))</f>
        <v>921.78054203600436</v>
      </c>
    </row>
    <row r="30" spans="2:7" ht="15" customHeight="1" x14ac:dyDescent="0.2">
      <c r="B30" s="44">
        <f>+Assumptions!C14+0.055</f>
        <v>0.11499999999999999</v>
      </c>
      <c r="C30" s="34">
        <f>IFERROR(Assumptions!C6*Assumptions!C7/Assumptions!C9*(1-(1+((Assumptions!C14+0.055)/Assumptions!C9))^(-ROUND(Assumptions!C8*Assumptions!C9,0)))/(((Assumptions!C14+0.055)/Assumptions!C9))+Assumptions!C6*(1+((Assumptions!C14+0.055)/Assumptions!C9))^(-ROUND(Assumptions!C8*Assumptions!C9,0)),ROUND(Assumptions!C8*Assumptions!C9,0)*Assumptions!C6*Assumptions!C7/Assumptions!C9+Assumptions!C6)</f>
        <v>619.54262646701477</v>
      </c>
      <c r="D30" s="44">
        <f>C30/Assumptions!C6</f>
        <v>0.61954262646701475</v>
      </c>
      <c r="E30" s="45">
        <f>C30-Pricing!C19</f>
        <v>-306.06999923070771</v>
      </c>
      <c r="F30" s="46" t="str">
        <f>IF(B30&gt;Assumptions!C7,"DISCOUNT",IF(B30&lt;Assumptions!C7,"PREMIUM","PAR"))</f>
        <v>DISCOUNT</v>
      </c>
      <c r="G30" s="34">
        <f>Pricing!C19*(1-'Risk Metrics'!C15*(0.055))</f>
        <v>921.39733366983251</v>
      </c>
    </row>
    <row r="31" spans="2:7" ht="15" customHeight="1" x14ac:dyDescent="0.2">
      <c r="B31" s="44">
        <f>+Assumptions!C14+0.06</f>
        <v>0.12</v>
      </c>
      <c r="C31" s="34">
        <f>IFERROR(Assumptions!C6*Assumptions!C7/Assumptions!C9*(1-(1+((Assumptions!C14+0.06)/Assumptions!C9))^(-ROUND(Assumptions!C8*Assumptions!C9,0)))/(((Assumptions!C14+0.06)/Assumptions!C9))+Assumptions!C6*(1+((Assumptions!C14+0.06)/Assumptions!C9))^(-ROUND(Assumptions!C8*Assumptions!C9,0)),ROUND(Assumptions!C8*Assumptions!C9,0)*Assumptions!C6*Assumptions!C7/Assumptions!C9+Assumptions!C6)</f>
        <v>598.55275735021587</v>
      </c>
      <c r="D31" s="44">
        <f>C31/Assumptions!C6</f>
        <v>0.59855275735021585</v>
      </c>
      <c r="E31" s="45">
        <f>C31-Pricing!C19</f>
        <v>-327.05986834750661</v>
      </c>
      <c r="F31" s="46" t="str">
        <f>IF(B31&gt;Assumptions!C7,"DISCOUNT",IF(B31&lt;Assumptions!C7,"PREMIUM","PAR"))</f>
        <v>DISCOUNT</v>
      </c>
      <c r="G31" s="34">
        <f>Pricing!C19*(1-'Risk Metrics'!C15*(0.06))</f>
        <v>921.01412530366076</v>
      </c>
    </row>
    <row r="32" spans="2:7" ht="15" customHeight="1" x14ac:dyDescent="0.2">
      <c r="B32" s="44">
        <f>+Assumptions!C14+0.065</f>
        <v>0.125</v>
      </c>
      <c r="C32" s="34">
        <f>IFERROR(Assumptions!C6*Assumptions!C7/Assumptions!C9*(1-(1+((Assumptions!C14+0.065)/Assumptions!C9))^(-ROUND(Assumptions!C8*Assumptions!C9,0)))/(((Assumptions!C14+0.065)/Assumptions!C9))+Assumptions!C6*(1+((Assumptions!C14+0.065)/Assumptions!C9))^(-ROUND(Assumptions!C8*Assumptions!C9,0)),ROUND(Assumptions!C8*Assumptions!C9,0)*Assumptions!C6*Assumptions!C7/Assumptions!C9+Assumptions!C6)</f>
        <v>578.47298029889862</v>
      </c>
      <c r="D32" s="44">
        <f>C32/Assumptions!C6</f>
        <v>0.5784729802988986</v>
      </c>
      <c r="E32" s="45">
        <f>C32-Pricing!C19</f>
        <v>-347.13964539882386</v>
      </c>
      <c r="F32" s="46" t="str">
        <f>IF(B32&gt;Assumptions!C7,"DISCOUNT",IF(B32&lt;Assumptions!C7,"PREMIUM","PAR"))</f>
        <v>DISCOUNT</v>
      </c>
      <c r="G32" s="34">
        <f>Pricing!C19*(1-'Risk Metrics'!C15*(0.065))</f>
        <v>920.63091693748891</v>
      </c>
    </row>
    <row r="33" spans="2:7" ht="15" customHeight="1" x14ac:dyDescent="0.2">
      <c r="B33" s="44">
        <f>+Assumptions!C14+0.07</f>
        <v>0.13</v>
      </c>
      <c r="C33" s="34">
        <f>IFERROR(Assumptions!C6*Assumptions!C7/Assumptions!C9*(1-(1+((Assumptions!C14+0.07)/Assumptions!C9))^(-ROUND(Assumptions!C8*Assumptions!C9,0)))/(((Assumptions!C14+0.07)/Assumptions!C9))+Assumptions!C6*(1+((Assumptions!C14+0.07)/Assumptions!C9))^(-ROUND(Assumptions!C8*Assumptions!C9,0)),ROUND(Assumptions!C8*Assumptions!C9,0)*Assumptions!C6*Assumptions!C7/Assumptions!C9+Assumptions!C6)</f>
        <v>559.25971010548915</v>
      </c>
      <c r="D33" s="44">
        <f>C33/Assumptions!C6</f>
        <v>0.55925971010548914</v>
      </c>
      <c r="E33" s="45">
        <f>C33-Pricing!C19</f>
        <v>-366.35291559223333</v>
      </c>
      <c r="F33" s="46" t="str">
        <f>IF(B33&gt;Assumptions!C7,"DISCOUNT",IF(B33&lt;Assumptions!C7,"PREMIUM","PAR"))</f>
        <v>DISCOUNT</v>
      </c>
      <c r="G33" s="34">
        <f>Pricing!C19*(1-'Risk Metrics'!C15*(0.07))</f>
        <v>920.24770857131705</v>
      </c>
    </row>
    <row r="39" spans="2:7" ht="15" customHeight="1" x14ac:dyDescent="0.2">
      <c r="B39" s="39" t="s">
        <v>112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7" sqref="I17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12" customWidth="1"/>
    <col min="4" max="4" width="16" customWidth="1"/>
    <col min="5" max="5" width="18" customWidth="1"/>
    <col min="6" max="6" width="20" customWidth="1"/>
    <col min="7" max="7" width="18" customWidth="1"/>
    <col min="8" max="8" width="20" customWidth="1"/>
    <col min="9" max="9" width="18" customWidth="1"/>
  </cols>
  <sheetData>
    <row r="1" spans="1:9" ht="15" customHeight="1" x14ac:dyDescent="0.2">
      <c r="A1" s="59" t="s">
        <v>127</v>
      </c>
      <c r="B1" s="60"/>
      <c r="C1" s="60"/>
      <c r="D1" s="60"/>
      <c r="E1" s="60"/>
      <c r="F1" s="60"/>
      <c r="G1" s="60"/>
      <c r="H1" s="60"/>
      <c r="I1" s="60"/>
    </row>
    <row r="2" spans="1:9" ht="15" customHeight="1" x14ac:dyDescent="0.2">
      <c r="A2" s="61" t="s">
        <v>137</v>
      </c>
      <c r="B2" s="62"/>
      <c r="C2" s="62"/>
      <c r="D2" s="62"/>
      <c r="E2" s="62"/>
      <c r="F2" s="62"/>
      <c r="G2" s="62"/>
      <c r="H2" s="62"/>
      <c r="I2" s="62"/>
    </row>
    <row r="4" spans="1:9" ht="15" customHeight="1" x14ac:dyDescent="0.2">
      <c r="B4" s="31" t="s">
        <v>113</v>
      </c>
      <c r="C4" s="31" t="s">
        <v>114</v>
      </c>
      <c r="D4" s="31" t="s">
        <v>115</v>
      </c>
      <c r="E4" s="31" t="s">
        <v>116</v>
      </c>
      <c r="F4" s="31" t="s">
        <v>117</v>
      </c>
      <c r="G4" s="31" t="s">
        <v>118</v>
      </c>
      <c r="H4" s="31" t="s">
        <v>119</v>
      </c>
    </row>
    <row r="5" spans="1:9" ht="15" customHeight="1" x14ac:dyDescent="0.2">
      <c r="B5" s="32">
        <v>-300</v>
      </c>
      <c r="C5" s="44">
        <v>-0.03</v>
      </c>
      <c r="D5" s="34">
        <f>IFERROR(Assumptions!C6*Assumptions!C7/Assumptions!C9*(1-(1+((Assumptions!C14-0.03)/Assumptions!C9))^(-ROUND(Assumptions!C8*Assumptions!C9,0)))/(((Assumptions!C14-0.03)/Assumptions!C9))+Assumptions!C6*(1+((Assumptions!C14-0.03)/Assumptions!C9))^(-ROUND(Assumptions!C8*Assumptions!C9,0)),ROUND(Assumptions!C8*Assumptions!C9,0)*Assumptions!C6*Assumptions!C7/Assumptions!C9+Assumptions!C6)</f>
        <v>1171.6863878508179</v>
      </c>
      <c r="E5" s="34">
        <f>Pricing!C19*(1-'Risk Metrics'!C15*(-0.03))</f>
        <v>927.91187589475328</v>
      </c>
      <c r="F5" s="45">
        <f t="shared" ref="F5:F29" si="0">E5-D5</f>
        <v>-243.77451195606466</v>
      </c>
      <c r="G5" s="34">
        <f>Pricing!C19*(1-'Risk Metrics'!C15*(-0.03)+0.5*'Risk Metrics'!C21*(-0.03)^2)</f>
        <v>927.9170235665872</v>
      </c>
      <c r="H5" s="45">
        <f t="shared" ref="H5:H29" si="1">G5-D5</f>
        <v>-243.76936428423073</v>
      </c>
    </row>
    <row r="6" spans="1:9" ht="15" customHeight="1" x14ac:dyDescent="0.2">
      <c r="B6" s="32">
        <v>-275</v>
      </c>
      <c r="C6" s="44">
        <v>-2.75E-2</v>
      </c>
      <c r="D6" s="34">
        <f>IFERROR(Assumptions!C6*Assumptions!C7/Assumptions!C9*(1-(1+((Assumptions!C14-0.0275)/Assumptions!C9))^(-ROUND(Assumptions!C8*Assumptions!C9,0)))/(((Assumptions!C14-0.0275)/Assumptions!C9))+Assumptions!C6*(1+((Assumptions!C14-0.0275)/Assumptions!C9))^(-ROUND(Assumptions!C8*Assumptions!C9,0)),ROUND(Assumptions!C8*Assumptions!C9,0)*Assumptions!C6*Assumptions!C7/Assumptions!C9+Assumptions!C6)</f>
        <v>1148.3906714204047</v>
      </c>
      <c r="E6" s="34">
        <f>Pricing!C19*(1-'Risk Metrics'!C15*(-0.0275))</f>
        <v>927.72027171166735</v>
      </c>
      <c r="F6" s="45">
        <f t="shared" si="0"/>
        <v>-220.67039970873736</v>
      </c>
      <c r="G6" s="34">
        <f>Pricing!C19*(1-'Risk Metrics'!C15*(-0.0275)+0.5*'Risk Metrics'!C21*(-0.0275)^2)</f>
        <v>927.72459718591665</v>
      </c>
      <c r="H6" s="45">
        <f t="shared" si="1"/>
        <v>-220.66607423448806</v>
      </c>
    </row>
    <row r="7" spans="1:9" ht="15" customHeight="1" x14ac:dyDescent="0.2">
      <c r="B7" s="32">
        <v>-250</v>
      </c>
      <c r="C7" s="44">
        <v>-2.5000000000000001E-2</v>
      </c>
      <c r="D7" s="34">
        <f>IFERROR(Assumptions!C6*Assumptions!C7/Assumptions!C9*(1-(1+((Assumptions!C14-0.025)/Assumptions!C9))^(-ROUND(Assumptions!C8*Assumptions!C9,0)))/(((Assumptions!C14-0.025)/Assumptions!C9))+Assumptions!C6*(1+((Assumptions!C14-0.025)/Assumptions!C9))^(-ROUND(Assumptions!C8*Assumptions!C9,0)),ROUND(Assumptions!C8*Assumptions!C9,0)*Assumptions!C6*Assumptions!C7/Assumptions!C9+Assumptions!C6)</f>
        <v>1125.6466097856273</v>
      </c>
      <c r="E7" s="34">
        <f>Pricing!C19*(1-'Risk Metrics'!C15*(-0.025))</f>
        <v>927.52866752858165</v>
      </c>
      <c r="F7" s="45">
        <f t="shared" si="0"/>
        <v>-198.11794225704568</v>
      </c>
      <c r="G7" s="34">
        <f>Pricing!C19*(1-'Risk Metrics'!C15*(-0.025)+0.5*'Risk Metrics'!C21*(-0.025)^2)</f>
        <v>927.53224230068838</v>
      </c>
      <c r="H7" s="45">
        <f t="shared" si="1"/>
        <v>-198.11436748493895</v>
      </c>
    </row>
    <row r="8" spans="1:9" ht="15" customHeight="1" x14ac:dyDescent="0.2">
      <c r="B8" s="32">
        <v>-225</v>
      </c>
      <c r="C8" s="44">
        <v>-2.2499999999999999E-2</v>
      </c>
      <c r="D8" s="34">
        <f>IFERROR(Assumptions!C6*Assumptions!C7/Assumptions!C9*(1-(1+((Assumptions!C14-0.0225)/Assumptions!C9))^(-ROUND(Assumptions!C8*Assumptions!C9,0)))/(((Assumptions!C14-0.0225)/Assumptions!C9))+Assumptions!C6*(1+((Assumptions!C14-0.0225)/Assumptions!C9))^(-ROUND(Assumptions!C8*Assumptions!C9,0)),ROUND(Assumptions!C8*Assumptions!C9,0)*Assumptions!C6*Assumptions!C7/Assumptions!C9+Assumptions!C6)</f>
        <v>1103.4400354905256</v>
      </c>
      <c r="E8" s="34">
        <f>Pricing!C19*(1-'Risk Metrics'!C15*(-0.0225))</f>
        <v>927.33706334549561</v>
      </c>
      <c r="F8" s="45">
        <f t="shared" si="0"/>
        <v>-176.10297214502998</v>
      </c>
      <c r="G8" s="34">
        <f>Pricing!C19*(1-'Risk Metrics'!C15*(-0.0225)+0.5*'Risk Metrics'!C21*(-0.0225)^2)</f>
        <v>927.33995891090217</v>
      </c>
      <c r="H8" s="45">
        <f t="shared" si="1"/>
        <v>-176.10007657962342</v>
      </c>
    </row>
    <row r="9" spans="1:9" ht="15" customHeight="1" x14ac:dyDescent="0.2">
      <c r="B9" s="32">
        <v>-200</v>
      </c>
      <c r="C9" s="44">
        <v>-0.02</v>
      </c>
      <c r="D9" s="34">
        <f>IFERROR(Assumptions!C6*Assumptions!C7/Assumptions!C9*(1-(1+((Assumptions!C14-0.02)/Assumptions!C9))^(-ROUND(Assumptions!C8*Assumptions!C9,0)))/(((Assumptions!C14-0.02)/Assumptions!C9))+Assumptions!C6*(1+((Assumptions!C14-0.02)/Assumptions!C9))^(-ROUND(Assumptions!C8*Assumptions!C9,0)),ROUND(Assumptions!C8*Assumptions!C9,0)*Assumptions!C6*Assumptions!C7/Assumptions!C9+Assumptions!C6)</f>
        <v>1081.7571667229856</v>
      </c>
      <c r="E9" s="34">
        <f>Pricing!C19*(1-'Risk Metrics'!C15*(-0.02))</f>
        <v>927.14545916240968</v>
      </c>
      <c r="F9" s="45">
        <f t="shared" si="0"/>
        <v>-154.61170756057595</v>
      </c>
      <c r="G9" s="34">
        <f>Pricing!C19*(1-'Risk Metrics'!C15*(-0.02)+0.5*'Risk Metrics'!C21*(-0.02)^2)</f>
        <v>927.14774701655813</v>
      </c>
      <c r="H9" s="45">
        <f t="shared" si="1"/>
        <v>-154.6094197064275</v>
      </c>
    </row>
    <row r="10" spans="1:9" ht="15" customHeight="1" x14ac:dyDescent="0.2">
      <c r="B10" s="32">
        <v>-175</v>
      </c>
      <c r="C10" s="44">
        <v>-1.7500000000000002E-2</v>
      </c>
      <c r="D10" s="34">
        <f>IFERROR(Assumptions!C6*Assumptions!C7/Assumptions!C9*(1-(1+((Assumptions!C14-0.0175)/Assumptions!C9))^(-ROUND(Assumptions!C8*Assumptions!C9,0)))/(((Assumptions!C14-0.0175)/Assumptions!C9))+Assumptions!C6*(1+((Assumptions!C14-0.0175)/Assumptions!C9))^(-ROUND(Assumptions!C8*Assumptions!C9,0)),ROUND(Assumptions!C8*Assumptions!C9,0)*Assumptions!C6*Assumptions!C7/Assumptions!C9+Assumptions!C6)</f>
        <v>1060.5845962904464</v>
      </c>
      <c r="E10" s="34">
        <f>Pricing!C19*(1-'Risk Metrics'!C15*(-0.0175))</f>
        <v>926.95385497932375</v>
      </c>
      <c r="F10" s="45">
        <f t="shared" si="0"/>
        <v>-133.63074131112262</v>
      </c>
      <c r="G10" s="34">
        <f>Pricing!C19*(1-'Risk Metrics'!C15*(-0.0175)+0.5*'Risk Metrics'!C21*(-0.0175)^2)</f>
        <v>926.95560661765603</v>
      </c>
      <c r="H10" s="45">
        <f t="shared" si="1"/>
        <v>-133.62898967279034</v>
      </c>
    </row>
    <row r="11" spans="1:9" ht="15" customHeight="1" x14ac:dyDescent="0.2">
      <c r="B11" s="32">
        <v>-150</v>
      </c>
      <c r="C11" s="44">
        <v>-1.4999999999999999E-2</v>
      </c>
      <c r="D11" s="34">
        <f>IFERROR(Assumptions!C6*Assumptions!C7/Assumptions!C9*(1-(1+((Assumptions!C14-0.015)/Assumptions!C9))^(-ROUND(Assumptions!C8*Assumptions!C9,0)))/(((Assumptions!C14-0.015)/Assumptions!C9))+Assumptions!C6*(1+((Assumptions!C14-0.015)/Assumptions!C9))^(-ROUND(Assumptions!C8*Assumptions!C9,0)),ROUND(Assumptions!C8*Assumptions!C9,0)*Assumptions!C6*Assumptions!C7/Assumptions!C9+Assumptions!C6)</f>
        <v>1039.9092809249396</v>
      </c>
      <c r="E11" s="34">
        <f>Pricing!C19*(1-'Risk Metrics'!C15*(-0.015))</f>
        <v>926.76225079623805</v>
      </c>
      <c r="F11" s="45">
        <f t="shared" si="0"/>
        <v>-113.14703012870154</v>
      </c>
      <c r="G11" s="34">
        <f>Pricing!C19*(1-'Risk Metrics'!C15*(-0.015)+0.5*'Risk Metrics'!C21*(-0.015)^2)</f>
        <v>926.76353771419656</v>
      </c>
      <c r="H11" s="45">
        <f t="shared" si="1"/>
        <v>-113.14574321074303</v>
      </c>
    </row>
    <row r="12" spans="1:9" ht="15" customHeight="1" x14ac:dyDescent="0.2">
      <c r="B12" s="32">
        <v>-125</v>
      </c>
      <c r="C12" s="44">
        <v>-1.2500000000000001E-2</v>
      </c>
      <c r="D12" s="34">
        <f>IFERROR(Assumptions!C6*Assumptions!C7/Assumptions!C9*(1-(1+((Assumptions!C14-0.0125)/Assumptions!C9))^(-ROUND(Assumptions!C8*Assumptions!C9,0)))/(((Assumptions!C14-0.0125)/Assumptions!C9))+Assumptions!C6*(1+((Assumptions!C14-0.0125)/Assumptions!C9))^(-ROUND(Assumptions!C8*Assumptions!C9,0)),ROUND(Assumptions!C8*Assumptions!C9,0)*Assumptions!C6*Assumptions!C7/Assumptions!C9+Assumptions!C6)</f>
        <v>1019.7185309072095</v>
      </c>
      <c r="E12" s="34">
        <f>Pricing!C19*(1-'Risk Metrics'!C15*(-0.0125))</f>
        <v>926.57064661315201</v>
      </c>
      <c r="F12" s="45">
        <f t="shared" si="0"/>
        <v>-93.147884294057462</v>
      </c>
      <c r="G12" s="34">
        <f>Pricing!C19*(1-'Risk Metrics'!C15*(-0.0125)+0.5*'Risk Metrics'!C21*(-0.0125)^2)</f>
        <v>926.5715403061788</v>
      </c>
      <c r="H12" s="45">
        <f t="shared" si="1"/>
        <v>-93.146990601030666</v>
      </c>
    </row>
    <row r="13" spans="1:9" ht="15" customHeight="1" x14ac:dyDescent="0.2">
      <c r="B13" s="32">
        <v>-100</v>
      </c>
      <c r="C13" s="44">
        <v>-0.01</v>
      </c>
      <c r="D13" s="34">
        <f>IFERROR(Assumptions!C6*Assumptions!C7/Assumptions!C9*(1-(1+((Assumptions!C14-0.01)/Assumptions!C9))^(-ROUND(Assumptions!C8*Assumptions!C9,0)))/(((Assumptions!C14-0.01)/Assumptions!C9))+Assumptions!C6*(1+((Assumptions!C14-0.01)/Assumptions!C9))^(-ROUND(Assumptions!C8*Assumptions!C9,0)),ROUND(Assumptions!C8*Assumptions!C9,0)*Assumptions!C6*Assumptions!C7/Assumptions!C9+Assumptions!C6)</f>
        <v>1000</v>
      </c>
      <c r="E13" s="34">
        <f>Pricing!C19*(1-'Risk Metrics'!C15*(-0.01))</f>
        <v>926.37904243006608</v>
      </c>
      <c r="F13" s="45">
        <f t="shared" si="0"/>
        <v>-73.620957569933921</v>
      </c>
      <c r="G13" s="34">
        <f>Pricing!C19*(1-'Risk Metrics'!C15*(-0.01)+0.5*'Risk Metrics'!C21*(-0.01)^2)</f>
        <v>926.37961439360322</v>
      </c>
      <c r="H13" s="45">
        <f t="shared" si="1"/>
        <v>-73.620385606396781</v>
      </c>
    </row>
    <row r="14" spans="1:9" ht="15" customHeight="1" x14ac:dyDescent="0.2">
      <c r="B14" s="32">
        <v>-75</v>
      </c>
      <c r="C14" s="44">
        <v>-7.4999999999999997E-3</v>
      </c>
      <c r="D14" s="34">
        <f>IFERROR(Assumptions!C6*Assumptions!C7/Assumptions!C9*(1-(1+((Assumptions!C14-0.0075)/Assumptions!C9))^(-ROUND(Assumptions!C8*Assumptions!C9,0)))/(((Assumptions!C14-0.0075)/Assumptions!C9))+Assumptions!C6*(1+((Assumptions!C14-0.0075)/Assumptions!C9))^(-ROUND(Assumptions!C8*Assumptions!C9,0)),ROUND(Assumptions!C8*Assumptions!C9,0)*Assumptions!C6*Assumptions!C7/Assumptions!C9+Assumptions!C6)</f>
        <v>980.74167568091502</v>
      </c>
      <c r="E14" s="34">
        <f>Pricing!C19*(1-'Risk Metrics'!C15*(-0.0075))</f>
        <v>926.18743824698015</v>
      </c>
      <c r="F14" s="45">
        <f t="shared" si="0"/>
        <v>-54.554237433934873</v>
      </c>
      <c r="G14" s="34">
        <f>Pricing!C19*(1-'Risk Metrics'!C15*(-0.0075)+0.5*'Risk Metrics'!C21*(-0.0075)^2)</f>
        <v>926.18775997646981</v>
      </c>
      <c r="H14" s="45">
        <f t="shared" si="1"/>
        <v>-54.553915704445217</v>
      </c>
    </row>
    <row r="15" spans="1:9" ht="15" customHeight="1" x14ac:dyDescent="0.2">
      <c r="B15" s="32">
        <v>-50</v>
      </c>
      <c r="C15" s="44">
        <v>-5.0000000000000001E-3</v>
      </c>
      <c r="D15" s="34">
        <f>IFERROR(Assumptions!C6*Assumptions!C7/Assumptions!C9*(1-(1+((Assumptions!C14-0.005)/Assumptions!C9))^(-ROUND(Assumptions!C8*Assumptions!C9,0)))/(((Assumptions!C14-0.005)/Assumptions!C9))+Assumptions!C6*(1+((Assumptions!C14-0.005)/Assumptions!C9))^(-ROUND(Assumptions!C8*Assumptions!C9,0)),ROUND(Assumptions!C8*Assumptions!C9,0)*Assumptions!C6*Assumptions!C7/Assumptions!C9+Assumptions!C6)</f>
        <v>961.93186966556095</v>
      </c>
      <c r="E15" s="34">
        <f>Pricing!C19*(1-'Risk Metrics'!C15*(-0.005))</f>
        <v>925.99583406389434</v>
      </c>
      <c r="F15" s="45">
        <f t="shared" si="0"/>
        <v>-35.936035601666617</v>
      </c>
      <c r="G15" s="34">
        <f>Pricing!C19*(1-'Risk Metrics'!C15*(-0.005)+0.5*'Risk Metrics'!C21*(-0.005)^2)</f>
        <v>925.99597705477868</v>
      </c>
      <c r="H15" s="45">
        <f t="shared" si="1"/>
        <v>-35.935892610782275</v>
      </c>
    </row>
    <row r="16" spans="1:9" ht="15" customHeight="1" x14ac:dyDescent="0.2">
      <c r="B16" s="32">
        <v>-25</v>
      </c>
      <c r="C16" s="44">
        <v>-2.5000000000000001E-3</v>
      </c>
      <c r="D16" s="34">
        <f>IFERROR(Assumptions!C6*Assumptions!C7/Assumptions!C9*(1-(1+((Assumptions!C14-0.0025)/Assumptions!C9))^(-ROUND(Assumptions!C8*Assumptions!C9,0)))/(((Assumptions!C14-0.0025)/Assumptions!C9))+Assumptions!C6*(1+((Assumptions!C14-0.0025)/Assumptions!C9))^(-ROUND(Assumptions!C8*Assumptions!C9,0)),ROUND(Assumptions!C8*Assumptions!C9,0)*Assumptions!C6*Assumptions!C7/Assumptions!C9+Assumptions!C6)</f>
        <v>943.55920871198668</v>
      </c>
      <c r="E16" s="34">
        <f>Pricing!C19*(1-'Risk Metrics'!C15*(-0.0025))</f>
        <v>925.80422988080841</v>
      </c>
      <c r="F16" s="45">
        <f t="shared" si="0"/>
        <v>-17.754978831178278</v>
      </c>
      <c r="G16" s="34">
        <f>Pricing!C19*(1-'Risk Metrics'!C15*(-0.0025)+0.5*'Risk Metrics'!C21*(-0.0025)^2)</f>
        <v>925.80426562852938</v>
      </c>
      <c r="H16" s="45">
        <f t="shared" si="1"/>
        <v>-17.754943083457306</v>
      </c>
    </row>
    <row r="17" spans="2:8" ht="15" customHeight="1" x14ac:dyDescent="0.2">
      <c r="B17" s="49">
        <v>0</v>
      </c>
      <c r="C17" s="44">
        <v>0</v>
      </c>
      <c r="D17" s="48">
        <f>IFERROR(Assumptions!C6*Assumptions!C7/Assumptions!C9*(1-(1+((Assumptions!C14+0)/Assumptions!C9))^(-ROUND(Assumptions!C8*Assumptions!C9,0)))/(((Assumptions!C14+0)/Assumptions!C9))+Assumptions!C6*(1+((Assumptions!C14+0)/Assumptions!C9))^(-ROUND(Assumptions!C8*Assumptions!C9,0)),ROUND(Assumptions!C8*Assumptions!C9,0)*Assumptions!C6*Assumptions!C7/Assumptions!C9+Assumptions!C6)</f>
        <v>925.61262569772248</v>
      </c>
      <c r="E17" s="50">
        <f>Pricing!C19*(1-'Risk Metrics'!C15*(0))</f>
        <v>925.61262569772248</v>
      </c>
      <c r="F17" s="51">
        <f t="shared" si="0"/>
        <v>0</v>
      </c>
      <c r="G17" s="50">
        <f>Pricing!C19*(1-'Risk Metrics'!C15*(0)+0.5*'Risk Metrics'!C21*(0)^2)</f>
        <v>925.61262569772248</v>
      </c>
      <c r="H17" s="51">
        <f t="shared" si="1"/>
        <v>0</v>
      </c>
    </row>
    <row r="18" spans="2:8" ht="15" customHeight="1" x14ac:dyDescent="0.2">
      <c r="B18" s="32">
        <v>25</v>
      </c>
      <c r="C18" s="44">
        <v>2.5000000000000001E-3</v>
      </c>
      <c r="D18" s="34">
        <f>IFERROR(Assumptions!C6*Assumptions!C7/Assumptions!C9*(1-(1+((Assumptions!C14+0.0025)/Assumptions!C9))^(-ROUND(Assumptions!C8*Assumptions!C9,0)))/(((Assumptions!C14+0.0025)/Assumptions!C9))+Assumptions!C6*(1+((Assumptions!C14+0.0025)/Assumptions!C9))^(-ROUND(Assumptions!C8*Assumptions!C9,0)),ROUND(Assumptions!C8*Assumptions!C9,0)*Assumptions!C6*Assumptions!C7/Assumptions!C9+Assumptions!C6)</f>
        <v>908.08135096099818</v>
      </c>
      <c r="E18" s="34">
        <f>Pricing!C19*(1-'Risk Metrics'!C15*(0.0025))</f>
        <v>925.42102151463655</v>
      </c>
      <c r="F18" s="45">
        <f t="shared" si="0"/>
        <v>17.339670553638371</v>
      </c>
      <c r="G18" s="34">
        <f>Pricing!C19*(1-'Risk Metrics'!C15*(0.0025)+0.5*'Risk Metrics'!C21*(0.0025)^2)</f>
        <v>925.42105726235764</v>
      </c>
      <c r="H18" s="45">
        <f t="shared" si="1"/>
        <v>17.339706301359456</v>
      </c>
    </row>
    <row r="19" spans="2:8" ht="15" customHeight="1" x14ac:dyDescent="0.2">
      <c r="B19" s="32">
        <v>50</v>
      </c>
      <c r="C19" s="44">
        <v>5.0000000000000001E-3</v>
      </c>
      <c r="D19" s="34">
        <f>IFERROR(Assumptions!C6*Assumptions!C7/Assumptions!C9*(1-(1+((Assumptions!C14+0.005)/Assumptions!C9))^(-ROUND(Assumptions!C8*Assumptions!C9,0)))/(((Assumptions!C14+0.005)/Assumptions!C9))+Assumptions!C6*(1+((Assumptions!C14+0.005)/Assumptions!C9))^(-ROUND(Assumptions!C8*Assumptions!C9,0)),ROUND(Assumptions!C8*Assumptions!C9,0)*Assumptions!C6*Assumptions!C7/Assumptions!C9+Assumptions!C6)</f>
        <v>890.95490389799329</v>
      </c>
      <c r="E19" s="34">
        <f>Pricing!C19*(1-'Risk Metrics'!C15*(0.005))</f>
        <v>925.22941733155062</v>
      </c>
      <c r="F19" s="45">
        <f t="shared" si="0"/>
        <v>34.274513433557331</v>
      </c>
      <c r="G19" s="34">
        <f>Pricing!C19*(1-'Risk Metrics'!C15*(0.005)+0.5*'Risk Metrics'!C21*(0.005)^2)</f>
        <v>925.22956032243485</v>
      </c>
      <c r="H19" s="45">
        <f t="shared" si="1"/>
        <v>34.274656424441559</v>
      </c>
    </row>
    <row r="20" spans="2:8" ht="15" customHeight="1" x14ac:dyDescent="0.2">
      <c r="B20" s="32">
        <v>75</v>
      </c>
      <c r="C20" s="44">
        <v>7.4999999999999997E-3</v>
      </c>
      <c r="D20" s="34">
        <f>IFERROR(Assumptions!C6*Assumptions!C7/Assumptions!C9*(1-(1+((Assumptions!C14+0.0075)/Assumptions!C9))^(-ROUND(Assumptions!C8*Assumptions!C9,0)))/(((Assumptions!C14+0.0075)/Assumptions!C9))+Assumptions!C6*(1+((Assumptions!C14+0.0075)/Assumptions!C9))^(-ROUND(Assumptions!C8*Assumptions!C9,0)),ROUND(Assumptions!C8*Assumptions!C9,0)*Assumptions!C6*Assumptions!C7/Assumptions!C9+Assumptions!C6)</f>
        <v>874.2230848082304</v>
      </c>
      <c r="E20" s="34">
        <f>Pricing!C19*(1-'Risk Metrics'!C15*(0.0075))</f>
        <v>925.03781314846469</v>
      </c>
      <c r="F20" s="45">
        <f t="shared" si="0"/>
        <v>50.814728340234296</v>
      </c>
      <c r="G20" s="34">
        <f>Pricing!C19*(1-'Risk Metrics'!C15*(0.0075)+0.5*'Risk Metrics'!C21*(0.0075)^2)</f>
        <v>925.03813487795435</v>
      </c>
      <c r="H20" s="45">
        <f t="shared" si="1"/>
        <v>50.815050069723952</v>
      </c>
    </row>
    <row r="21" spans="2:8" ht="15" customHeight="1" x14ac:dyDescent="0.2">
      <c r="B21" s="32">
        <v>100</v>
      </c>
      <c r="C21" s="44">
        <v>0.01</v>
      </c>
      <c r="D21" s="34">
        <f>IFERROR(Assumptions!C6*Assumptions!C7/Assumptions!C9*(1-(1+((Assumptions!C14+0.01)/Assumptions!C9))^(-ROUND(Assumptions!C8*Assumptions!C9,0)))/(((Assumptions!C14+0.01)/Assumptions!C9))+Assumptions!C6*(1+((Assumptions!C14+0.01)/Assumptions!C9))^(-ROUND(Assumptions!C8*Assumptions!C9,0)),ROUND(Assumptions!C8*Assumptions!C9,0)*Assumptions!C6*Assumptions!C7/Assumptions!C9+Assumptions!C6)</f>
        <v>857.87596698047741</v>
      </c>
      <c r="E21" s="34">
        <f>Pricing!C19*(1-'Risk Metrics'!C15*(0.01))</f>
        <v>924.84620896537888</v>
      </c>
      <c r="F21" s="45">
        <f t="shared" si="0"/>
        <v>66.970241984901463</v>
      </c>
      <c r="G21" s="34">
        <f>Pricing!C19*(1-'Risk Metrics'!C15*(0.01)+0.5*'Risk Metrics'!C21*(0.01)^2)</f>
        <v>924.84678092891602</v>
      </c>
      <c r="H21" s="45">
        <f t="shared" si="1"/>
        <v>66.970813948438604</v>
      </c>
    </row>
    <row r="22" spans="2:8" ht="15" customHeight="1" x14ac:dyDescent="0.2">
      <c r="B22" s="32">
        <v>125</v>
      </c>
      <c r="C22" s="44">
        <v>1.2500000000000001E-2</v>
      </c>
      <c r="D22" s="34">
        <f>IFERROR(Assumptions!C6*Assumptions!C7/Assumptions!C9*(1-(1+((Assumptions!C14+0.0125)/Assumptions!C9))^(-ROUND(Assumptions!C8*Assumptions!C9,0)))/(((Assumptions!C14+0.0125)/Assumptions!C9))+Assumptions!C6*(1+((Assumptions!C14+0.0125)/Assumptions!C9))^(-ROUND(Assumptions!C8*Assumptions!C9,0)),ROUND(Assumptions!C8*Assumptions!C9,0)*Assumptions!C6*Assumptions!C7/Assumptions!C9+Assumptions!C6)</f>
        <v>841.90388901176857</v>
      </c>
      <c r="E22" s="34">
        <f>Pricing!C19*(1-'Risk Metrics'!C15*(0.0125))</f>
        <v>924.65460478229295</v>
      </c>
      <c r="F22" s="45">
        <f t="shared" si="0"/>
        <v>82.75071577052438</v>
      </c>
      <c r="G22" s="34">
        <f>Pricing!C19*(1-'Risk Metrics'!C15*(0.0125)+0.5*'Risk Metrics'!C21*(0.0125)^2)</f>
        <v>924.65549847531963</v>
      </c>
      <c r="H22" s="45">
        <f t="shared" si="1"/>
        <v>82.751609463551063</v>
      </c>
    </row>
    <row r="23" spans="2:8" ht="15" customHeight="1" x14ac:dyDescent="0.2">
      <c r="B23" s="32">
        <v>150</v>
      </c>
      <c r="C23" s="44">
        <v>1.4999999999999999E-2</v>
      </c>
      <c r="D23" s="34">
        <f>IFERROR(Assumptions!C6*Assumptions!C7/Assumptions!C9*(1-(1+((Assumptions!C14+0.015)/Assumptions!C9))^(-ROUND(Assumptions!C8*Assumptions!C9,0)))/(((Assumptions!C14+0.015)/Assumptions!C9))+Assumptions!C6*(1+((Assumptions!C14+0.015)/Assumptions!C9))^(-ROUND(Assumptions!C8*Assumptions!C9,0)),ROUND(Assumptions!C8*Assumptions!C9,0)*Assumptions!C6*Assumptions!C7/Assumptions!C9+Assumptions!C6)</f>
        <v>826.29744735238967</v>
      </c>
      <c r="E23" s="34">
        <f>Pricing!C19*(1-'Risk Metrics'!C15*(0.015))</f>
        <v>924.46300059920702</v>
      </c>
      <c r="F23" s="45">
        <f t="shared" si="0"/>
        <v>98.165553246817353</v>
      </c>
      <c r="G23" s="34">
        <f>Pricing!C19*(1-'Risk Metrics'!C15*(0.015)+0.5*'Risk Metrics'!C21*(0.015)^2)</f>
        <v>924.46428751716553</v>
      </c>
      <c r="H23" s="45">
        <f t="shared" si="1"/>
        <v>98.166840164775863</v>
      </c>
    </row>
    <row r="24" spans="2:8" ht="15" customHeight="1" x14ac:dyDescent="0.2">
      <c r="B24" s="32">
        <v>175</v>
      </c>
      <c r="C24" s="44">
        <v>1.7500000000000002E-2</v>
      </c>
      <c r="D24" s="34">
        <f>IFERROR(Assumptions!C6*Assumptions!C7/Assumptions!C9*(1-(1+((Assumptions!C14+0.0175)/Assumptions!C9))^(-ROUND(Assumptions!C8*Assumptions!C9,0)))/(((Assumptions!C14+0.0175)/Assumptions!C9))+Assumptions!C6*(1+((Assumptions!C14+0.0175)/Assumptions!C9))^(-ROUND(Assumptions!C8*Assumptions!C9,0)),ROUND(Assumptions!C8*Assumptions!C9,0)*Assumptions!C6*Assumptions!C7/Assumptions!C9+Assumptions!C6)</f>
        <v>811.04748906990005</v>
      </c>
      <c r="E24" s="34">
        <f>Pricing!C19*(1-'Risk Metrics'!C15*(0.0175))</f>
        <v>924.27139641612109</v>
      </c>
      <c r="F24" s="45">
        <f t="shared" si="0"/>
        <v>113.22390734622104</v>
      </c>
      <c r="G24" s="34">
        <f>Pricing!C19*(1-'Risk Metrics'!C15*(0.0175)+0.5*'Risk Metrics'!C21*(0.0175)^2)</f>
        <v>924.27314805445349</v>
      </c>
      <c r="H24" s="45">
        <f t="shared" si="1"/>
        <v>113.22565898455343</v>
      </c>
    </row>
    <row r="25" spans="2:8" ht="15" customHeight="1" x14ac:dyDescent="0.2">
      <c r="B25" s="32">
        <v>200</v>
      </c>
      <c r="C25" s="44">
        <v>0.02</v>
      </c>
      <c r="D25" s="34">
        <f>IFERROR(Assumptions!C6*Assumptions!C7/Assumptions!C9*(1-(1+((Assumptions!C14+0.02)/Assumptions!C9))^(-ROUND(Assumptions!C8*Assumptions!C9,0)))/(((Assumptions!C14+0.02)/Assumptions!C9))+Assumptions!C6*(1+((Assumptions!C14+0.02)/Assumptions!C9))^(-ROUND(Assumptions!C8*Assumptions!C9,0)),ROUND(Assumptions!C8*Assumptions!C9,0)*Assumptions!C6*Assumptions!C7/Assumptions!C9+Assumptions!C6)</f>
        <v>796.14510482548451</v>
      </c>
      <c r="E25" s="34">
        <f>Pricing!C19*(1-'Risk Metrics'!C15*(0.02))</f>
        <v>924.07979223303528</v>
      </c>
      <c r="F25" s="45">
        <f t="shared" si="0"/>
        <v>127.93468740755077</v>
      </c>
      <c r="G25" s="34">
        <f>Pricing!C19*(1-'Risk Metrics'!C15*(0.02)+0.5*'Risk Metrics'!C21*(0.02)^2)</f>
        <v>924.08208008718361</v>
      </c>
      <c r="H25" s="45">
        <f t="shared" si="1"/>
        <v>127.9369752616991</v>
      </c>
    </row>
    <row r="26" spans="2:8" ht="15" customHeight="1" x14ac:dyDescent="0.2">
      <c r="B26" s="32">
        <v>225</v>
      </c>
      <c r="C26" s="44">
        <v>2.2499999999999999E-2</v>
      </c>
      <c r="D26" s="34">
        <f>IFERROR(Assumptions!C6*Assumptions!C7/Assumptions!C9*(1-(1+((Assumptions!C14+0.0225)/Assumptions!C9))^(-ROUND(Assumptions!C8*Assumptions!C9,0)))/(((Assumptions!C14+0.0225)/Assumptions!C9))+Assumptions!C6*(1+((Assumptions!C14+0.0225)/Assumptions!C9))^(-ROUND(Assumptions!C8*Assumptions!C9,0)),ROUND(Assumptions!C8*Assumptions!C9,0)*Assumptions!C6*Assumptions!C7/Assumptions!C9+Assumptions!C6)</f>
        <v>781.58162205614587</v>
      </c>
      <c r="E26" s="34">
        <f>Pricing!C19*(1-'Risk Metrics'!C15*(0.0225))</f>
        <v>923.88818804994935</v>
      </c>
      <c r="F26" s="45">
        <f t="shared" si="0"/>
        <v>142.30656599380347</v>
      </c>
      <c r="G26" s="34">
        <f>Pricing!C19*(1-'Risk Metrics'!C15*(0.0225)+0.5*'Risk Metrics'!C21*(0.0225)^2)</f>
        <v>923.89108361535591</v>
      </c>
      <c r="H26" s="45">
        <f t="shared" si="1"/>
        <v>142.30946155921004</v>
      </c>
    </row>
    <row r="27" spans="2:8" ht="15" customHeight="1" x14ac:dyDescent="0.2">
      <c r="B27" s="32">
        <v>250</v>
      </c>
      <c r="C27" s="44">
        <v>2.5000000000000001E-2</v>
      </c>
      <c r="D27" s="34">
        <f>IFERROR(Assumptions!C6*Assumptions!C7/Assumptions!C9*(1-(1+((Assumptions!C14+0.025)/Assumptions!C9))^(-ROUND(Assumptions!C8*Assumptions!C9,0)))/(((Assumptions!C14+0.025)/Assumptions!C9))+Assumptions!C6*(1+((Assumptions!C14+0.025)/Assumptions!C9))^(-ROUND(Assumptions!C8*Assumptions!C9,0)),ROUND(Assumptions!C8*Assumptions!C9,0)*Assumptions!C6*Assumptions!C7/Assumptions!C9+Assumptions!C6)</f>
        <v>767.34859835645148</v>
      </c>
      <c r="E27" s="34">
        <f>Pricing!C19*(1-'Risk Metrics'!C15*(0.025))</f>
        <v>923.69658386686342</v>
      </c>
      <c r="F27" s="45">
        <f t="shared" si="0"/>
        <v>156.34798551041195</v>
      </c>
      <c r="G27" s="34">
        <f>Pricing!C19*(1-'Risk Metrics'!C15*(0.025)+0.5*'Risk Metrics'!C21*(0.025)^2)</f>
        <v>923.70015863897027</v>
      </c>
      <c r="H27" s="45">
        <f t="shared" si="1"/>
        <v>156.35156028251879</v>
      </c>
    </row>
    <row r="28" spans="2:8" ht="15" customHeight="1" x14ac:dyDescent="0.2">
      <c r="B28" s="32">
        <v>275</v>
      </c>
      <c r="C28" s="44">
        <v>2.75E-2</v>
      </c>
      <c r="D28" s="34">
        <f>IFERROR(Assumptions!C6*Assumptions!C7/Assumptions!C9*(1-(1+((Assumptions!C14+0.0275)/Assumptions!C9))^(-ROUND(Assumptions!C8*Assumptions!C9,0)))/(((Assumptions!C14+0.0275)/Assumptions!C9))+Assumptions!C6*(1+((Assumptions!C14+0.0275)/Assumptions!C9))^(-ROUND(Assumptions!C8*Assumptions!C9,0)),ROUND(Assumptions!C8*Assumptions!C9,0)*Assumptions!C6*Assumptions!C7/Assumptions!C9+Assumptions!C6)</f>
        <v>753.43781505374409</v>
      </c>
      <c r="E28" s="34">
        <f>Pricing!C19*(1-'Risk Metrics'!C15*(0.0275))</f>
        <v>923.50497968377749</v>
      </c>
      <c r="F28" s="45">
        <f t="shared" si="0"/>
        <v>170.0671646300334</v>
      </c>
      <c r="G28" s="34">
        <f>Pricing!C19*(1-'Risk Metrics'!C15*(0.0275)+0.5*'Risk Metrics'!C21*(0.0275)^2)</f>
        <v>923.50930515802679</v>
      </c>
      <c r="H28" s="45">
        <f t="shared" si="1"/>
        <v>170.0714901042827</v>
      </c>
    </row>
    <row r="29" spans="2:8" ht="15" customHeight="1" x14ac:dyDescent="0.2">
      <c r="B29" s="32">
        <v>300</v>
      </c>
      <c r="C29" s="44">
        <v>0.03</v>
      </c>
      <c r="D29" s="34">
        <f>IFERROR(Assumptions!C6*Assumptions!C7/Assumptions!C9*(1-(1+((Assumptions!C14+0.03)/Assumptions!C9))^(-ROUND(Assumptions!C8*Assumptions!C9,0)))/(((Assumptions!C14+0.03)/Assumptions!C9))+Assumptions!C6*(1+((Assumptions!C14+0.03)/Assumptions!C9))^(-ROUND(Assumptions!C8*Assumptions!C9,0)),ROUND(Assumptions!C8*Assumptions!C9,0)*Assumptions!C6*Assumptions!C7/Assumptions!C9+Assumptions!C6)</f>
        <v>739.84127097092642</v>
      </c>
      <c r="E29" s="34">
        <f>Pricing!C19*(1-'Risk Metrics'!C15*(0.03))</f>
        <v>923.31337550069168</v>
      </c>
      <c r="F29" s="45">
        <f t="shared" si="0"/>
        <v>183.47210452976526</v>
      </c>
      <c r="G29" s="34">
        <f>Pricing!C19*(1-'Risk Metrics'!C15*(0.03)+0.5*'Risk Metrics'!C21*(0.03)^2)</f>
        <v>923.31852317252549</v>
      </c>
      <c r="H29" s="45">
        <f t="shared" si="1"/>
        <v>183.47725220159907</v>
      </c>
    </row>
    <row r="31" spans="2:8" ht="15" customHeight="1" x14ac:dyDescent="0.2">
      <c r="B31" s="39" t="s">
        <v>120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Pricing</vt:lpstr>
      <vt:lpstr>Cash Flows</vt:lpstr>
      <vt:lpstr>Risk Metrics</vt:lpstr>
      <vt:lpstr>Price-Yield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Yari Ib</cp:lastModifiedBy>
  <cp:revision>0</cp:revision>
  <dcterms:created xsi:type="dcterms:W3CDTF">2026-07-07T00:52:57Z</dcterms:created>
  <dcterms:modified xsi:type="dcterms:W3CDTF">2026-07-08T01:29:43Z</dcterms:modified>
  <dc:language>en-US</dc:language>
</cp:coreProperties>
</file>